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9200" windowHeight="6945" activeTab="3"/>
  </bookViews>
  <sheets>
    <sheet name="Cover" sheetId="20" r:id="rId1"/>
    <sheet name="Summary" sheetId="7" r:id="rId2"/>
    <sheet name="Timeliness" sheetId="8" r:id="rId3"/>
    <sheet name="Completion" sheetId="9" r:id="rId4"/>
    <sheet name="Accuracy" sheetId="22" state="hidden" r:id="rId5"/>
  </sheets>
  <definedNames>
    <definedName name="_13APR18" localSheetId="4">#REF!</definedName>
    <definedName name="_13APR18">#REF!</definedName>
    <definedName name="_13MAR18" localSheetId="4">#REF!</definedName>
    <definedName name="_13MAR18">#REF!</definedName>
    <definedName name="_16MAR18" localSheetId="4">#REF!</definedName>
    <definedName name="_16MAR18">#REF!</definedName>
    <definedName name="_xlnm.Print_Area" localSheetId="4">Accuracy!$B$2:$AG$9</definedName>
    <definedName name="_xlnm.Print_Area" localSheetId="3">Completion!$B$2:$AH$46</definedName>
    <definedName name="_xlnm.Print_Area" localSheetId="0">Cover!$B$1:$M$33</definedName>
    <definedName name="_xlnm.Print_Area" localSheetId="1">Summary!$A$1:$M$44</definedName>
    <definedName name="_xlnm.Print_Area" localSheetId="2">Timeliness!$A$1:$L$29</definedName>
    <definedName name="_xlnm.Print_Titles" localSheetId="4">Accuracy!$B:$D,Accuracy!$2:$9</definedName>
    <definedName name="_xlnm.Print_Titles" localSheetId="3">Completion!$B:$D,Completion!$2:$9</definedName>
  </definedNames>
  <calcPr calcId="145621"/>
</workbook>
</file>

<file path=xl/calcChain.xml><?xml version="1.0" encoding="utf-8"?>
<calcChain xmlns="http://schemas.openxmlformats.org/spreadsheetml/2006/main">
  <c r="J8" i="22" l="1"/>
  <c r="AG5" i="22" s="1"/>
  <c r="AD5" i="22"/>
  <c r="AB5" i="22"/>
  <c r="Y5" i="22"/>
  <c r="W5" i="22"/>
  <c r="T5" i="22"/>
  <c r="R5" i="22"/>
  <c r="O5" i="22"/>
  <c r="M5" i="22"/>
  <c r="D3" i="22"/>
  <c r="C3" i="22"/>
  <c r="W9" i="22" s="1"/>
  <c r="L5" i="22" l="1"/>
  <c r="N5" i="22"/>
  <c r="Q5" i="22"/>
  <c r="S5" i="22"/>
  <c r="V5" i="22"/>
  <c r="X5" i="22"/>
  <c r="AA5" i="22"/>
  <c r="AC5" i="22"/>
  <c r="AF5" i="22"/>
  <c r="K5" i="22"/>
  <c r="P5" i="22"/>
  <c r="Z5" i="22"/>
  <c r="L9" i="22"/>
  <c r="N9" i="22"/>
  <c r="S9" i="22"/>
  <c r="AA9" i="22"/>
  <c r="U5" i="22"/>
  <c r="M9" i="22"/>
  <c r="O9" i="22"/>
  <c r="AD9" i="22" l="1"/>
  <c r="AB9" i="22"/>
  <c r="Y9" i="22"/>
  <c r="T9" i="22"/>
  <c r="R9" i="22"/>
  <c r="AC9" i="22"/>
  <c r="X9" i="22"/>
  <c r="V9" i="22"/>
  <c r="Q9" i="22"/>
</calcChain>
</file>

<file path=xl/sharedStrings.xml><?xml version="1.0" encoding="utf-8"?>
<sst xmlns="http://schemas.openxmlformats.org/spreadsheetml/2006/main" count="299" uniqueCount="174">
  <si>
    <t>1st</t>
  </si>
  <si>
    <t>2nd</t>
  </si>
  <si>
    <t>3rd</t>
  </si>
  <si>
    <t>Final</t>
  </si>
  <si>
    <t>MCO Encounter Data Scorecard</t>
  </si>
  <si>
    <t>Submission timeliness overview</t>
  </si>
  <si>
    <t>Submission completeness overview</t>
  </si>
  <si>
    <t>Submission</t>
  </si>
  <si>
    <t>Total # Low-Completion Fields</t>
  </si>
  <si>
    <t>Measure</t>
  </si>
  <si>
    <t>Claim Type</t>
  </si>
  <si>
    <t>Benchmark</t>
  </si>
  <si>
    <t># claims</t>
  </si>
  <si>
    <t>All Claim Types</t>
  </si>
  <si>
    <t>Pharmacy (prescriptions only, not OTC)</t>
  </si>
  <si>
    <t>Inpatient, Outpatient, Professional, and LTC</t>
  </si>
  <si>
    <t>Professional</t>
  </si>
  <si>
    <t>Inpatient and LTC</t>
  </si>
  <si>
    <t>Inpatient</t>
  </si>
  <si>
    <t>Inpatient and Outpatient</t>
  </si>
  <si>
    <t>Inpatient, Outpatient, and LTC</t>
  </si>
  <si>
    <t>ID</t>
  </si>
  <si>
    <t>Field ID</t>
  </si>
  <si>
    <t>Source</t>
  </si>
  <si>
    <t>From Service Date</t>
  </si>
  <si>
    <t>To Service Date</t>
  </si>
  <si>
    <t>Servicing Provider ID</t>
  </si>
  <si>
    <t>Servicing Provider ID Type</t>
  </si>
  <si>
    <t>Servicing Provider Type</t>
  </si>
  <si>
    <t>Billing Provider ID</t>
  </si>
  <si>
    <t>Billing Provider ID Type</t>
  </si>
  <si>
    <t>Prescribing Prov. ID</t>
  </si>
  <si>
    <t>Prescribing Prov. ID Type</t>
  </si>
  <si>
    <t>Primary Diagnosis</t>
  </si>
  <si>
    <t>ICD Version Qualifier</t>
  </si>
  <si>
    <t>Procedure Code Prof_M</t>
  </si>
  <si>
    <t>Quantity</t>
  </si>
  <si>
    <t>Service Category</t>
  </si>
  <si>
    <t>Date Script Written</t>
  </si>
  <si>
    <t>Refill Indicator</t>
  </si>
  <si>
    <t>Dispense as Written Indicator</t>
  </si>
  <si>
    <t>Prescription Number</t>
  </si>
  <si>
    <t>Dispensing Fee</t>
  </si>
  <si>
    <t>NDC Number</t>
  </si>
  <si>
    <t>Claim Category</t>
  </si>
  <si>
    <t>Record Indicator</t>
  </si>
  <si>
    <t>Billed Charge</t>
  </si>
  <si>
    <t>Net Payment</t>
  </si>
  <si>
    <t>Allowable Amount</t>
  </si>
  <si>
    <t>Admission Date</t>
  </si>
  <si>
    <t>Discharge Date</t>
  </si>
  <si>
    <t>Admitting Diagnosis</t>
  </si>
  <si>
    <t>Patient Discharge Status</t>
  </si>
  <si>
    <t>Type of Admission</t>
  </si>
  <si>
    <t>Source of Admission</t>
  </si>
  <si>
    <t>Revenue Code</t>
  </si>
  <si>
    <t>Place of Service</t>
  </si>
  <si>
    <t xml:space="preserve">Type Of Bill  </t>
  </si>
  <si>
    <t>PCT_ID_MEDICAID</t>
  </si>
  <si>
    <t>PCT_DOS_FROM</t>
  </si>
  <si>
    <t>PCT_DOS_THRU</t>
  </si>
  <si>
    <t>PCT_SERV_PROV_ID</t>
  </si>
  <si>
    <t>PCT_SERV_PROV_ID_TYP</t>
  </si>
  <si>
    <t>PCT_BILL_PROV_ID</t>
  </si>
  <si>
    <t>PCT_BILL_PROV_ID_TYP</t>
  </si>
  <si>
    <t>PCT_PRESCRIBE_PROV_ID</t>
  </si>
  <si>
    <t>PCT_PRES_PROV_ID_TYP</t>
  </si>
  <si>
    <t>PCT_PRIMARY_DIAG</t>
  </si>
  <si>
    <t>PCT_ICD_VERSION</t>
  </si>
  <si>
    <t>PCT_BILL_NPI</t>
  </si>
  <si>
    <t>PCT_SERV_NPI</t>
  </si>
  <si>
    <t>PCT_CLAIMCAT</t>
  </si>
  <si>
    <t>PCT_RECIND</t>
  </si>
  <si>
    <t>PCT_AMTPAY</t>
  </si>
  <si>
    <t>PCT_AMTBILL</t>
  </si>
  <si>
    <t>PCT_AMTALLOW</t>
  </si>
  <si>
    <t>PCT_ADMITDT</t>
  </si>
  <si>
    <t>PCT_DISCHARGEDT</t>
  </si>
  <si>
    <t>PCT_DIAG_ADMIT</t>
  </si>
  <si>
    <t>PCT_PATIENT_STATUS</t>
  </si>
  <si>
    <t>PCT_ADMIT_TYPE</t>
  </si>
  <si>
    <t>PCT_ADMIT_SOURCE</t>
  </si>
  <si>
    <t>PCT_REV_CODE</t>
  </si>
  <si>
    <t>PCT_POS_CODE</t>
  </si>
  <si>
    <t>PCT_POS_TYPE</t>
  </si>
  <si>
    <t>Billing Provider NPI</t>
  </si>
  <si>
    <t>Service Provider NPI</t>
  </si>
  <si>
    <t>Orig ID</t>
  </si>
  <si>
    <t>New Member ID</t>
  </si>
  <si>
    <t>58, 93</t>
  </si>
  <si>
    <t>50, 51</t>
  </si>
  <si>
    <t>Pharmacy (prescriptions only, not OTC and not compounded)</t>
  </si>
  <si>
    <t>Comments</t>
  </si>
  <si>
    <t>Measure Name Technical</t>
  </si>
  <si>
    <t>*# of claims refers to # from 1st submission</t>
  </si>
  <si>
    <t>Month of Service:</t>
  </si>
  <si>
    <t>All</t>
  </si>
  <si>
    <t>Date of Report:</t>
  </si>
  <si>
    <t>MCO:</t>
  </si>
  <si>
    <t>Months of Service Contained:</t>
  </si>
  <si>
    <t>4 Month Avg</t>
  </si>
  <si>
    <t>Scorecard Review Month:</t>
  </si>
  <si>
    <t>Total # of claims</t>
  </si>
  <si>
    <t>PCT_DISPENSE</t>
  </si>
  <si>
    <t>PCT_FEE</t>
  </si>
  <si>
    <t>PCT_NDC</t>
  </si>
  <si>
    <t>PCT_PROC_CODE_M</t>
  </si>
  <si>
    <t>PCT_QTY_UNIT_BILL</t>
  </si>
  <si>
    <t>PCT_REFILL</t>
  </si>
  <si>
    <t>PCT_SCRIPT</t>
  </si>
  <si>
    <t>PCT_SCRIPT_WRITTEN</t>
  </si>
  <si>
    <t>PCT_SERV_PROV_TYP</t>
  </si>
  <si>
    <t>PCT_SVC_CAT</t>
  </si>
  <si>
    <t>February 2017 to January 2018</t>
  </si>
  <si>
    <t>Tab Name</t>
  </si>
  <si>
    <t>Contents</t>
  </si>
  <si>
    <t>Summary</t>
  </si>
  <si>
    <t>Timeliness</t>
  </si>
  <si>
    <t>Completion</t>
  </si>
  <si>
    <t>Accuracy</t>
  </si>
  <si>
    <t>Overall performance summary</t>
  </si>
  <si>
    <t>12 month breakdown of file submission timeliness</t>
  </si>
  <si>
    <t>12 month view of field completion rates</t>
  </si>
  <si>
    <t>12 month view of accuracy measure adherence</t>
  </si>
  <si>
    <t>Whitney Nimitpattana</t>
  </si>
  <si>
    <t xml:space="preserve">Dates of Service: </t>
  </si>
  <si>
    <t>Email: Whitney.Nimitpattana@massmail.state.ma.us</t>
  </si>
  <si>
    <t xml:space="preserve">Contract Manager: </t>
  </si>
  <si>
    <t>Y</t>
  </si>
  <si>
    <t>Total # Low-Accuracy Fields</t>
  </si>
  <si>
    <t>NHP</t>
  </si>
  <si>
    <t>Plan: NHP</t>
  </si>
  <si>
    <t>Prepared on May 16, 2018</t>
  </si>
  <si>
    <t>2018-01 to 2017-02</t>
  </si>
  <si>
    <t>Month of Service</t>
  </si>
  <si>
    <t># Missed</t>
  </si>
  <si>
    <t>% of total benchmarks missed</t>
  </si>
  <si>
    <t>February 2017</t>
  </si>
  <si>
    <t>March 2017</t>
  </si>
  <si>
    <t>April 2017</t>
  </si>
  <si>
    <t>May 2017</t>
  </si>
  <si>
    <t>June 2017</t>
  </si>
  <si>
    <t>July 2017</t>
  </si>
  <si>
    <t>August 2017</t>
  </si>
  <si>
    <t>September 2017</t>
  </si>
  <si>
    <t>October 2017</t>
  </si>
  <si>
    <t>November 2017</t>
  </si>
  <si>
    <t>December 2017</t>
  </si>
  <si>
    <t>January 2018</t>
  </si>
  <si>
    <t>12 Month Avg</t>
  </si>
  <si>
    <t>Measure Name (Technical)</t>
  </si>
  <si>
    <t>Benchmarks</t>
  </si>
  <si>
    <t>May 2018</t>
  </si>
  <si>
    <t>MCO/ACPP Encounter Data Scorecard - Preview Version</t>
  </si>
  <si>
    <t>Karen Powell</t>
  </si>
  <si>
    <t>Missed:</t>
  </si>
  <si>
    <t>MCO/ACPP Encounter Data Scorecard</t>
  </si>
  <si>
    <t>On Time?</t>
  </si>
  <si>
    <t>File Month of Service</t>
  </si>
  <si>
    <t>Date of Submission</t>
  </si>
  <si>
    <t>Submission Deadline</t>
  </si>
  <si>
    <t>Total number of times deadline missed:</t>
  </si>
  <si>
    <t>File submitted on time?</t>
  </si>
  <si>
    <t>Yes</t>
  </si>
  <si>
    <t>4 out of 37</t>
  </si>
  <si>
    <t>5 out of 37</t>
  </si>
  <si>
    <t>7 out of 37</t>
  </si>
  <si>
    <t>6 out of 37</t>
  </si>
  <si>
    <t>Missed benchmarks</t>
  </si>
  <si>
    <t>Notes</t>
  </si>
  <si>
    <t>N - Exception</t>
  </si>
  <si>
    <t>Enhanced encounter data readiness activites</t>
  </si>
  <si>
    <t>*See Timeliness tab for more details</t>
  </si>
  <si>
    <t>No - Exception*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</si>
</sst>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[$-409]mmmm\-yyyy;@"/>
    <numFmt numFmtId="165" formatCode="[$-409]mmm\-yyyy;@"/>
    <numFmt numFmtId="166" formatCode="[$-409]d\-mmm;@"/>
    <numFmt numFmtId="167" formatCode="m/d;@"/>
    <numFmt numFmtId="168" formatCode="[$-409]mmm\-dd\-yyyy;@"/>
    <numFmt numFmtId="169" formatCode="[$-409]yyyy\-mm;@"/>
    <numFmt numFmtId="170" formatCode="[$-409]yyyy\-mm\-dd;@"/>
    <numFmt numFmtId="171" formatCode="[$-409]mmmm\ yyyy;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MS Sans Serif"/>
      <family val="2"/>
    </font>
    <font>
      <b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0"/>
      <color indexed="12"/>
      <name val="MS Sans Serif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14">
    <xf numFmtId="0" fontId="0" fillId="0" borderId="0" xfId="0"/>
    <xf numFmtId="0" fontId="1" fillId="0" borderId="0" xfId="0" applyFont="1"/>
    <xf numFmtId="164" fontId="0" fillId="0" borderId="0" xfId="0" applyNumberFormat="1" applyFont="1" applyAlignment="1">
      <alignment horizont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Alignment="1">
      <alignment horizontal="left" indent="1"/>
    </xf>
    <xf numFmtId="0" fontId="1" fillId="3" borderId="0" xfId="0" applyFont="1" applyFill="1"/>
    <xf numFmtId="0" fontId="1" fillId="3" borderId="0" xfId="0" applyFont="1" applyFill="1" applyAlignment="1">
      <alignment horizontal="left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3" fillId="0" borderId="0" xfId="0" applyFont="1" applyAlignment="1">
      <alignment vertical="center"/>
    </xf>
    <xf numFmtId="9" fontId="2" fillId="4" borderId="0" xfId="0" applyNumberFormat="1" applyFont="1" applyFill="1" applyAlignment="1">
      <alignment vertical="center"/>
    </xf>
    <xf numFmtId="0" fontId="0" fillId="0" borderId="2" xfId="0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164" fontId="2" fillId="0" borderId="0" xfId="0" applyNumberFormat="1" applyFont="1" applyFill="1" applyAlignment="1">
      <alignment horizontal="left" vertical="center"/>
    </xf>
    <xf numFmtId="0" fontId="1" fillId="3" borderId="3" xfId="0" applyFont="1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3" xfId="0" applyFill="1" applyBorder="1" applyAlignment="1">
      <alignment horizontal="left" vertical="center"/>
    </xf>
    <xf numFmtId="10" fontId="0" fillId="0" borderId="0" xfId="0" applyNumberFormat="1" applyFill="1" applyBorder="1" applyAlignment="1">
      <alignment vertical="center"/>
    </xf>
    <xf numFmtId="0" fontId="5" fillId="0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7" fontId="0" fillId="0" borderId="0" xfId="0" applyNumberFormat="1"/>
    <xf numFmtId="168" fontId="2" fillId="0" borderId="0" xfId="0" applyNumberFormat="1" applyFont="1" applyAlignment="1">
      <alignment horizontal="left"/>
    </xf>
    <xf numFmtId="169" fontId="2" fillId="0" borderId="0" xfId="0" applyNumberFormat="1" applyFont="1" applyAlignment="1">
      <alignment horizontal="left"/>
    </xf>
    <xf numFmtId="169" fontId="0" fillId="0" borderId="0" xfId="0" applyNumberFormat="1" applyFont="1" applyAlignment="1">
      <alignment horizontal="left"/>
    </xf>
    <xf numFmtId="17" fontId="1" fillId="0" borderId="2" xfId="0" applyNumberFormat="1" applyFont="1" applyFill="1" applyBorder="1" applyAlignment="1">
      <alignment horizontal="left" vertical="center"/>
    </xf>
    <xf numFmtId="165" fontId="0" fillId="2" borderId="0" xfId="0" applyNumberFormat="1" applyFill="1" applyBorder="1" applyAlignment="1">
      <alignment horizontal="center" vertical="center" wrapText="1"/>
    </xf>
    <xf numFmtId="170" fontId="0" fillId="0" borderId="0" xfId="0" applyNumberForma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0" fontId="1" fillId="0" borderId="0" xfId="0" applyFont="1" applyFill="1"/>
    <xf numFmtId="0" fontId="1" fillId="0" borderId="0" xfId="0" applyFont="1" applyFill="1" applyAlignment="1">
      <alignment horizontal="left"/>
    </xf>
    <xf numFmtId="0" fontId="0" fillId="0" borderId="0" xfId="0" applyFill="1"/>
    <xf numFmtId="0" fontId="0" fillId="2" borderId="2" xfId="0" applyFill="1" applyBorder="1" applyAlignment="1">
      <alignment vertical="center" wrapText="1"/>
    </xf>
    <xf numFmtId="0" fontId="0" fillId="2" borderId="2" xfId="0" applyFill="1" applyBorder="1" applyAlignment="1">
      <alignment horizontal="left" vertical="center" wrapText="1"/>
    </xf>
    <xf numFmtId="169" fontId="2" fillId="2" borderId="0" xfId="0" applyNumberFormat="1" applyFont="1" applyFill="1" applyBorder="1" applyAlignment="1">
      <alignment vertical="center"/>
    </xf>
    <xf numFmtId="17" fontId="1" fillId="3" borderId="2" xfId="0" applyNumberFormat="1" applyFont="1" applyFill="1" applyBorder="1" applyAlignment="1">
      <alignment horizontal="left" vertical="center"/>
    </xf>
    <xf numFmtId="17" fontId="1" fillId="2" borderId="2" xfId="0" applyNumberFormat="1" applyFont="1" applyFill="1" applyBorder="1" applyAlignment="1">
      <alignment horizontal="left" vertical="center"/>
    </xf>
    <xf numFmtId="0" fontId="0" fillId="2" borderId="2" xfId="0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0" xfId="0" applyFont="1" applyFill="1" applyBorder="1" applyAlignment="1">
      <alignment horizontal="right" vertical="center"/>
    </xf>
    <xf numFmtId="0" fontId="0" fillId="2" borderId="0" xfId="0" applyFill="1" applyBorder="1" applyAlignment="1">
      <alignment horizontal="right" vertical="center"/>
    </xf>
    <xf numFmtId="169" fontId="0" fillId="2" borderId="0" xfId="0" applyNumberForma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left" vertical="center"/>
    </xf>
    <xf numFmtId="169" fontId="1" fillId="0" borderId="0" xfId="0" applyNumberFormat="1" applyFont="1" applyAlignment="1">
      <alignment horizontal="left"/>
    </xf>
    <xf numFmtId="0" fontId="2" fillId="0" borderId="0" xfId="0" applyFont="1"/>
    <xf numFmtId="0" fontId="1" fillId="3" borderId="0" xfId="0" applyFont="1" applyFill="1" applyAlignment="1">
      <alignment horizontal="center" vertical="center" wrapText="1"/>
    </xf>
    <xf numFmtId="169" fontId="1" fillId="3" borderId="2" xfId="0" applyNumberFormat="1" applyFont="1" applyFill="1" applyBorder="1" applyAlignment="1">
      <alignment horizontal="center"/>
    </xf>
    <xf numFmtId="17" fontId="2" fillId="2" borderId="2" xfId="0" applyNumberFormat="1" applyFont="1" applyFill="1" applyBorder="1" applyAlignment="1">
      <alignment horizontal="right" vertical="center" wrapText="1"/>
    </xf>
    <xf numFmtId="0" fontId="6" fillId="0" borderId="0" xfId="0" applyFont="1"/>
    <xf numFmtId="0" fontId="1" fillId="5" borderId="0" xfId="0" applyFont="1" applyFill="1"/>
    <xf numFmtId="0" fontId="0" fillId="5" borderId="0" xfId="0" applyFill="1"/>
    <xf numFmtId="0" fontId="0" fillId="0" borderId="0" xfId="0" applyFont="1"/>
    <xf numFmtId="0" fontId="8" fillId="0" borderId="0" xfId="2" applyFont="1"/>
    <xf numFmtId="0" fontId="9" fillId="0" borderId="0" xfId="0" applyFont="1"/>
    <xf numFmtId="49" fontId="9" fillId="0" borderId="0" xfId="0" applyNumberFormat="1" applyFont="1"/>
    <xf numFmtId="0" fontId="1" fillId="3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1" fillId="0" borderId="0" xfId="0" applyFont="1" applyAlignment="1"/>
    <xf numFmtId="10" fontId="0" fillId="0" borderId="0" xfId="0" applyNumberFormat="1" applyFill="1" applyBorder="1" applyAlignment="1">
      <alignment vertical="center" wrapText="1"/>
    </xf>
    <xf numFmtId="0" fontId="0" fillId="0" borderId="0" xfId="0" applyNumberFormat="1" applyFill="1" applyBorder="1" applyAlignment="1">
      <alignment vertical="center" wrapText="1"/>
    </xf>
    <xf numFmtId="0" fontId="0" fillId="2" borderId="0" xfId="0" applyFill="1" applyBorder="1" applyAlignment="1">
      <alignment vertical="center" wrapText="1"/>
    </xf>
    <xf numFmtId="0" fontId="2" fillId="2" borderId="0" xfId="0" applyFont="1" applyFill="1" applyBorder="1" applyAlignment="1">
      <alignment horizontal="right" vertical="center" wrapText="1"/>
    </xf>
    <xf numFmtId="0" fontId="0" fillId="0" borderId="0" xfId="0" applyNumberFormat="1" applyFill="1" applyBorder="1" applyAlignment="1">
      <alignment vertical="center"/>
    </xf>
    <xf numFmtId="0" fontId="2" fillId="2" borderId="3" xfId="0" applyFont="1" applyFill="1" applyBorder="1" applyAlignment="1">
      <alignment horizontal="left" vertical="center"/>
    </xf>
    <xf numFmtId="169" fontId="0" fillId="2" borderId="3" xfId="0" applyNumberFormat="1" applyFill="1" applyBorder="1" applyAlignment="1">
      <alignment horizontal="right" vertical="center"/>
    </xf>
    <xf numFmtId="10" fontId="0" fillId="0" borderId="3" xfId="0" applyNumberFormat="1" applyFill="1" applyBorder="1" applyAlignment="1">
      <alignment vertical="center"/>
    </xf>
    <xf numFmtId="10" fontId="0" fillId="0" borderId="0" xfId="0" applyNumberFormat="1" applyFill="1" applyAlignment="1">
      <alignment vertical="center"/>
    </xf>
    <xf numFmtId="0" fontId="2" fillId="0" borderId="0" xfId="0" applyFont="1" applyAlignment="1">
      <alignment horizontal="left"/>
    </xf>
    <xf numFmtId="0" fontId="0" fillId="3" borderId="0" xfId="0" applyFill="1"/>
    <xf numFmtId="0" fontId="1" fillId="3" borderId="3" xfId="0" applyFont="1" applyFill="1" applyBorder="1" applyAlignment="1">
      <alignment horizontal="center" vertical="center"/>
    </xf>
    <xf numFmtId="169" fontId="1" fillId="3" borderId="0" xfId="0" applyNumberFormat="1" applyFont="1" applyFill="1" applyBorder="1" applyAlignment="1">
      <alignment horizontal="center"/>
    </xf>
    <xf numFmtId="17" fontId="1" fillId="3" borderId="0" xfId="0" applyNumberFormat="1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17" fontId="1" fillId="2" borderId="0" xfId="0" applyNumberFormat="1" applyFont="1" applyFill="1" applyBorder="1" applyAlignment="1">
      <alignment horizontal="left" vertical="center"/>
    </xf>
    <xf numFmtId="0" fontId="2" fillId="2" borderId="3" xfId="0" applyFont="1" applyFill="1" applyBorder="1" applyAlignment="1">
      <alignment vertical="center"/>
    </xf>
    <xf numFmtId="169" fontId="2" fillId="2" borderId="3" xfId="0" applyNumberFormat="1" applyFont="1" applyFill="1" applyBorder="1" applyAlignment="1">
      <alignment vertical="center"/>
    </xf>
    <xf numFmtId="17" fontId="2" fillId="2" borderId="0" xfId="0" applyNumberFormat="1" applyFont="1" applyFill="1" applyBorder="1" applyAlignment="1">
      <alignment horizontal="right" vertical="center" wrapText="1"/>
    </xf>
    <xf numFmtId="3" fontId="0" fillId="0" borderId="0" xfId="0" applyNumberFormat="1" applyFill="1" applyBorder="1" applyAlignment="1">
      <alignment vertical="center"/>
    </xf>
    <xf numFmtId="9" fontId="2" fillId="4" borderId="3" xfId="0" applyNumberFormat="1" applyFont="1" applyFill="1" applyBorder="1" applyAlignment="1">
      <alignment vertical="center"/>
    </xf>
    <xf numFmtId="3" fontId="0" fillId="0" borderId="2" xfId="0" applyNumberForma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14" fontId="0" fillId="0" borderId="0" xfId="0" applyNumberFormat="1" applyFill="1" applyBorder="1" applyAlignment="1">
      <alignment horizontal="center" vertical="center"/>
    </xf>
    <xf numFmtId="166" fontId="0" fillId="0" borderId="0" xfId="0" applyNumberForma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0" fillId="2" borderId="3" xfId="0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71" fontId="0" fillId="0" borderId="0" xfId="0" applyNumberFormat="1" applyFont="1" applyAlignment="1">
      <alignment horizontal="left" vertical="center"/>
    </xf>
    <xf numFmtId="171" fontId="1" fillId="0" borderId="0" xfId="0" applyNumberFormat="1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left" vertical="center"/>
    </xf>
    <xf numFmtId="0" fontId="0" fillId="3" borderId="0" xfId="0" applyFill="1" applyAlignment="1">
      <alignment vertical="center"/>
    </xf>
  </cellXfs>
  <cellStyles count="4">
    <cellStyle name="Hyperlink" xfId="2" builtinId="8"/>
    <cellStyle name="Hyperlink 2" xfId="3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19</xdr:row>
      <xdr:rowOff>114300</xdr:rowOff>
    </xdr:from>
    <xdr:to>
      <xdr:col>2</xdr:col>
      <xdr:colOff>4114800</xdr:colOff>
      <xdr:row>29</xdr:row>
      <xdr:rowOff>85725</xdr:rowOff>
    </xdr:to>
    <xdr:sp macro="" textlink="">
      <xdr:nvSpPr>
        <xdr:cNvPr id="3" name="TextBox 2"/>
        <xdr:cNvSpPr txBox="1"/>
      </xdr:nvSpPr>
      <xdr:spPr>
        <a:xfrm>
          <a:off x="38100" y="4048125"/>
          <a:ext cx="5915025" cy="1876425"/>
        </a:xfrm>
        <a:prstGeom prst="rect">
          <a:avLst/>
        </a:prstGeom>
        <a:solidFill>
          <a:srgbClr val="FFFF99"/>
        </a:solidFill>
        <a:ln w="19050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eaLnBrk="1" latinLnBrk="0" hangingPunct="1"/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To support MCO/ACPP readiness for meeting benchmarks per the</a:t>
          </a:r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encounter data scorecard deduction process</a:t>
          </a:r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, MassHealth prepared a preview</a:t>
          </a:r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version of the scorecard template, where </a:t>
          </a:r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12 months of historical encounter data (Feb. 2017 to Jan. 2018) were assessed by 37 benchmarks, grouped by MCO.  MCOs/ACPPs should review benchmarks marked as missed to determine plan to attain threshold going forward. </a:t>
          </a:r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Data is displayed for informational purposes only; scorecard deduction policy does not apply to this time period. </a:t>
          </a:r>
          <a:endParaRPr lang="en-US" b="1">
            <a:solidFill>
              <a:sysClr val="windowText" lastClr="000000"/>
            </a:solidFill>
            <a:effectLst/>
          </a:endParaRPr>
        </a:p>
        <a:p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340585</xdr:colOff>
      <xdr:row>43</xdr:row>
      <xdr:rowOff>116225</xdr:rowOff>
    </xdr:from>
    <xdr:to>
      <xdr:col>8</xdr:col>
      <xdr:colOff>567602</xdr:colOff>
      <xdr:row>48</xdr:row>
      <xdr:rowOff>105019</xdr:rowOff>
    </xdr:to>
    <xdr:sp macro="" textlink="">
      <xdr:nvSpPr>
        <xdr:cNvPr id="2" name="Rectangle 1"/>
        <xdr:cNvSpPr/>
      </xdr:nvSpPr>
      <xdr:spPr>
        <a:xfrm>
          <a:off x="4779235" y="8307725"/>
          <a:ext cx="3275017" cy="941294"/>
        </a:xfrm>
        <a:prstGeom prst="rect">
          <a:avLst/>
        </a:prstGeom>
        <a:solidFill>
          <a:srgbClr val="FFFF99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strike="sngStrike">
              <a:solidFill>
                <a:sysClr val="windowText" lastClr="000000"/>
              </a:solidFill>
            </a:rPr>
            <a:t>Whitney: need to craft</a:t>
          </a:r>
          <a:r>
            <a:rPr lang="en-US" sz="1100" b="1" strike="sngStrike" baseline="0">
              <a:solidFill>
                <a:sysClr val="windowText" lastClr="000000"/>
              </a:solidFill>
            </a:rPr>
            <a:t> note regarding enchanced paid encoutners cutover</a:t>
          </a:r>
          <a:endParaRPr lang="en-US" sz="1100" b="1" strike="sngStrike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0</xdr:colOff>
      <xdr:row>6</xdr:row>
      <xdr:rowOff>180975</xdr:rowOff>
    </xdr:from>
    <xdr:to>
      <xdr:col>4</xdr:col>
      <xdr:colOff>159523</xdr:colOff>
      <xdr:row>11</xdr:row>
      <xdr:rowOff>142875</xdr:rowOff>
    </xdr:to>
    <xdr:sp macro="" textlink="">
      <xdr:nvSpPr>
        <xdr:cNvPr id="3" name="Rectangle 2"/>
        <xdr:cNvSpPr/>
      </xdr:nvSpPr>
      <xdr:spPr>
        <a:xfrm>
          <a:off x="381000" y="1323975"/>
          <a:ext cx="2902723" cy="914400"/>
        </a:xfrm>
        <a:prstGeom prst="rect">
          <a:avLst/>
        </a:prstGeom>
        <a:solidFill>
          <a:sysClr val="window" lastClr="FFFFFF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aseline="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2</xdr:col>
      <xdr:colOff>14654</xdr:colOff>
      <xdr:row>7</xdr:row>
      <xdr:rowOff>12418</xdr:rowOff>
    </xdr:from>
    <xdr:ext cx="2894134" cy="436786"/>
    <xdr:sp macro="" textlink="">
      <xdr:nvSpPr>
        <xdr:cNvPr id="6" name="TextBox 5"/>
        <xdr:cNvSpPr txBox="1"/>
      </xdr:nvSpPr>
      <xdr:spPr>
        <a:xfrm>
          <a:off x="395654" y="1345918"/>
          <a:ext cx="2894134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 b="1"/>
            <a:t>#, out of 12, files</a:t>
          </a:r>
          <a:r>
            <a:rPr lang="en-US" sz="1100" b="1" baseline="0"/>
            <a:t> submitted on time in past 12 months:</a:t>
          </a:r>
          <a:endParaRPr lang="en-US" sz="1100" b="1"/>
        </a:p>
      </xdr:txBody>
    </xdr:sp>
    <xdr:clientData/>
  </xdr:oneCellAnchor>
  <xdr:twoCellAnchor>
    <xdr:from>
      <xdr:col>1</xdr:col>
      <xdr:colOff>180977</xdr:colOff>
      <xdr:row>9</xdr:row>
      <xdr:rowOff>114300</xdr:rowOff>
    </xdr:from>
    <xdr:to>
      <xdr:col>4</xdr:col>
      <xdr:colOff>152401</xdr:colOff>
      <xdr:row>11</xdr:row>
      <xdr:rowOff>88210</xdr:rowOff>
    </xdr:to>
    <xdr:sp macro="" textlink="">
      <xdr:nvSpPr>
        <xdr:cNvPr id="9" name="TextBox 8"/>
        <xdr:cNvSpPr txBox="1"/>
      </xdr:nvSpPr>
      <xdr:spPr>
        <a:xfrm>
          <a:off x="371477" y="1828800"/>
          <a:ext cx="2905124" cy="3549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>
              <a:solidFill>
                <a:schemeClr val="accent1"/>
              </a:solidFill>
            </a:rPr>
            <a:t>12 out</a:t>
          </a:r>
          <a:r>
            <a:rPr lang="en-US" sz="1600" b="1" baseline="0">
              <a:solidFill>
                <a:schemeClr val="accent1"/>
              </a:solidFill>
            </a:rPr>
            <a:t> of 12</a:t>
          </a:r>
          <a:endParaRPr lang="en-US" sz="1600" b="1">
            <a:solidFill>
              <a:schemeClr val="accent1"/>
            </a:solidFill>
          </a:endParaRPr>
        </a:p>
      </xdr:txBody>
    </xdr:sp>
    <xdr:clientData/>
  </xdr:twoCellAnchor>
  <xdr:twoCellAnchor editAs="oneCell">
    <xdr:from>
      <xdr:col>5</xdr:col>
      <xdr:colOff>647700</xdr:colOff>
      <xdr:row>5</xdr:row>
      <xdr:rowOff>142875</xdr:rowOff>
    </xdr:from>
    <xdr:to>
      <xdr:col>9</xdr:col>
      <xdr:colOff>438173</xdr:colOff>
      <xdr:row>23</xdr:row>
      <xdr:rowOff>66966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9125" y="1095375"/>
          <a:ext cx="4657748" cy="335309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149086</xdr:colOff>
      <xdr:row>17</xdr:row>
      <xdr:rowOff>140807</xdr:rowOff>
    </xdr:from>
    <xdr:to>
      <xdr:col>8</xdr:col>
      <xdr:colOff>306457</xdr:colOff>
      <xdr:row>28</xdr:row>
      <xdr:rowOff>66263</xdr:rowOff>
    </xdr:to>
    <xdr:sp macro="" textlink="">
      <xdr:nvSpPr>
        <xdr:cNvPr id="4" name="TextBox 3"/>
        <xdr:cNvSpPr txBox="1"/>
      </xdr:nvSpPr>
      <xdr:spPr>
        <a:xfrm>
          <a:off x="149086" y="3437285"/>
          <a:ext cx="5971762" cy="2020956"/>
        </a:xfrm>
        <a:prstGeom prst="rect">
          <a:avLst/>
        </a:prstGeom>
        <a:solidFill>
          <a:srgbClr val="FFFF99"/>
        </a:solidFill>
        <a:ln w="19050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eaLnBrk="1" latinLnBrk="0" hangingPunct="1"/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Timeliness</a:t>
          </a:r>
          <a:r>
            <a:rPr 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is defined as a file having a submission date that is earlier than the deadline.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Total number of times deadline missed</a:t>
          </a:r>
          <a:r>
            <a:rPr 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refers to the number of times total number of misses counted from column "On Time?", unless exception is noted.</a:t>
          </a:r>
        </a:p>
        <a:p>
          <a:pPr rtl="0" eaLnBrk="1" latinLnBrk="0" hangingPunct="1"/>
          <a:endParaRPr lang="en-US" sz="1100" b="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rtl="0" eaLnBrk="1" latinLnBrk="0" hangingPunct="1"/>
          <a:r>
            <a:rPr 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Submission date and deadline are defined as follows:</a:t>
          </a:r>
        </a:p>
        <a:p>
          <a:pPr rtl="0" eaLnBrk="1" latinLnBrk="0" hangingPunct="1"/>
          <a:endParaRPr lang="en-US" sz="1100" b="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rtl="0" eaLnBrk="1" latinLnBrk="0" hangingPunct="1"/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Deadline: </a:t>
          </a:r>
          <a:r>
            <a:rPr 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Per Encounter Data Specifcation, the end of the month following the encounter data file's month of service, e.g. a file with a March 2018 month of service must be submitted by April 31, 2018</a:t>
          </a:r>
        </a:p>
        <a:p>
          <a:pPr rtl="0" eaLnBrk="1" latinLnBrk="0" hangingPunct="1"/>
          <a:endParaRPr lang="en-US" sz="1100" b="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rtl="0" eaLnBrk="1" latinLnBrk="0" hangingPunct="1"/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Submission Date: </a:t>
          </a:r>
          <a:r>
            <a:rPr 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The date the file was submitted to the MassHealth Data Warehouse SFTP server, as indicated by the file's name in the remit report.</a:t>
          </a:r>
          <a:endParaRPr lang="en-US" sz="1100" b="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638176</xdr:colOff>
      <xdr:row>2</xdr:row>
      <xdr:rowOff>9525</xdr:rowOff>
    </xdr:from>
    <xdr:to>
      <xdr:col>7</xdr:col>
      <xdr:colOff>657226</xdr:colOff>
      <xdr:row>3</xdr:row>
      <xdr:rowOff>314325</xdr:rowOff>
    </xdr:to>
    <xdr:sp macro="" textlink="">
      <xdr:nvSpPr>
        <xdr:cNvPr id="3" name="TextBox 2"/>
        <xdr:cNvSpPr txBox="1"/>
      </xdr:nvSpPr>
      <xdr:spPr>
        <a:xfrm>
          <a:off x="2905126" y="390525"/>
          <a:ext cx="6648450" cy="495300"/>
        </a:xfrm>
        <a:prstGeom prst="rect">
          <a:avLst/>
        </a:prstGeom>
        <a:solidFill>
          <a:srgbClr val="FFFF99"/>
        </a:solidFill>
        <a:ln w="19050" cmpd="sng"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 rtl="0" eaLnBrk="1" latinLnBrk="0" hangingPunct="1"/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*For Field ID descriptions, see Encounter Data Set Elements section of Expanded Encounter Data Specification (last updated 12/06/2017)</a:t>
          </a:r>
          <a:endParaRPr lang="en-US" sz="1100" b="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9</xdr:row>
      <xdr:rowOff>152400</xdr:rowOff>
    </xdr:from>
    <xdr:to>
      <xdr:col>3</xdr:col>
      <xdr:colOff>1133475</xdr:colOff>
      <xdr:row>16</xdr:row>
      <xdr:rowOff>171450</xdr:rowOff>
    </xdr:to>
    <xdr:sp macro="" textlink="">
      <xdr:nvSpPr>
        <xdr:cNvPr id="2" name="Rectangle 1"/>
        <xdr:cNvSpPr/>
      </xdr:nvSpPr>
      <xdr:spPr>
        <a:xfrm>
          <a:off x="438150" y="2305050"/>
          <a:ext cx="3038475" cy="1352550"/>
        </a:xfrm>
        <a:prstGeom prst="rect">
          <a:avLst/>
        </a:prstGeom>
        <a:solidFill>
          <a:srgbClr val="FFFF99"/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This</a:t>
          </a:r>
          <a:r>
            <a:rPr lang="en-US" sz="1200" baseline="0">
              <a:solidFill>
                <a:sysClr val="windowText" lastClr="000000"/>
              </a:solidFill>
            </a:rPr>
            <a:t> set of measures will not be implemented in the initial scorecard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Whitney.Nimitpattana@massmail.state.ma.us" TargetMode="Externa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C18"/>
  <sheetViews>
    <sheetView showGridLines="0" view="pageLayout" topLeftCell="A16" zoomScale="115" zoomScaleNormal="100" zoomScalePageLayoutView="115" workbookViewId="0">
      <selection activeCell="B5" sqref="B5"/>
    </sheetView>
  </sheetViews>
  <sheetFormatPr defaultRowHeight="15" x14ac:dyDescent="0.25"/>
  <cols>
    <col min="1" max="1" width="0.85546875" customWidth="1"/>
    <col min="2" max="2" width="24.85546875" customWidth="1"/>
    <col min="3" max="3" width="70.140625" customWidth="1"/>
  </cols>
  <sheetData>
    <row r="2" spans="2:3" ht="23.25" x14ac:dyDescent="0.35">
      <c r="B2" s="68" t="s">
        <v>153</v>
      </c>
    </row>
    <row r="3" spans="2:3" ht="23.25" x14ac:dyDescent="0.35">
      <c r="B3" s="69" t="s">
        <v>152</v>
      </c>
    </row>
    <row r="4" spans="2:3" ht="23.25" x14ac:dyDescent="0.35">
      <c r="B4" s="63" t="s">
        <v>131</v>
      </c>
    </row>
    <row r="5" spans="2:3" x14ac:dyDescent="0.25">
      <c r="B5" t="s">
        <v>127</v>
      </c>
      <c r="C5" t="s">
        <v>154</v>
      </c>
    </row>
    <row r="6" spans="2:3" x14ac:dyDescent="0.25">
      <c r="B6" t="s">
        <v>125</v>
      </c>
      <c r="C6" s="1" t="s">
        <v>113</v>
      </c>
    </row>
    <row r="10" spans="2:3" s="65" customFormat="1" x14ac:dyDescent="0.25">
      <c r="B10" s="64" t="s">
        <v>114</v>
      </c>
      <c r="C10" s="64" t="s">
        <v>115</v>
      </c>
    </row>
    <row r="11" spans="2:3" x14ac:dyDescent="0.25">
      <c r="B11" t="s">
        <v>116</v>
      </c>
      <c r="C11" t="s">
        <v>120</v>
      </c>
    </row>
    <row r="12" spans="2:3" x14ac:dyDescent="0.25">
      <c r="B12" t="s">
        <v>117</v>
      </c>
      <c r="C12" t="s">
        <v>121</v>
      </c>
    </row>
    <row r="13" spans="2:3" x14ac:dyDescent="0.25">
      <c r="B13" t="s">
        <v>118</v>
      </c>
      <c r="C13" t="s">
        <v>122</v>
      </c>
    </row>
    <row r="14" spans="2:3" x14ac:dyDescent="0.25">
      <c r="B14" t="s">
        <v>119</v>
      </c>
      <c r="C14" t="s">
        <v>123</v>
      </c>
    </row>
    <row r="16" spans="2:3" x14ac:dyDescent="0.25">
      <c r="B16" t="s">
        <v>132</v>
      </c>
    </row>
    <row r="17" spans="2:2" x14ac:dyDescent="0.25">
      <c r="B17" s="66" t="s">
        <v>124</v>
      </c>
    </row>
    <row r="18" spans="2:2" x14ac:dyDescent="0.25">
      <c r="B18" s="67" t="s">
        <v>126</v>
      </c>
    </row>
  </sheetData>
  <hyperlinks>
    <hyperlink ref="B18" r:id="rId1"/>
  </hyperlinks>
  <pageMargins left="0.25" right="0.25" top="0.75" bottom="0.75" header="0.3" footer="0.3"/>
  <pageSetup orientation="landscape" r:id="rId2"/>
  <headerFooter>
    <oddHeader>&amp;L&amp;"-,Bold"&amp;10&amp;G&amp;C&amp;"-,Bold"&amp;10&amp;F - &amp;A&amp;R&amp;"-,Bold"&amp;10&amp;G</oddHeader>
    <oddFooter>&amp;L&amp;"-,Bold"&amp;10Draft, Proprietary, and Confidential&amp;R&amp;"-,Bold"&amp;10 &amp;P of &amp;N</oddFooter>
  </headerFooter>
  <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I43"/>
  <sheetViews>
    <sheetView showGridLines="0" view="pageLayout" topLeftCell="A13" zoomScale="85" zoomScaleNormal="100" zoomScalePageLayoutView="85" workbookViewId="0">
      <selection activeCell="J40" sqref="J40"/>
    </sheetView>
  </sheetViews>
  <sheetFormatPr defaultRowHeight="15" x14ac:dyDescent="0.25"/>
  <cols>
    <col min="1" max="2" width="2.7109375" customWidth="1"/>
    <col min="3" max="3" width="16.42578125" customWidth="1"/>
    <col min="4" max="4" width="21.85546875" customWidth="1"/>
    <col min="7" max="7" width="33.42578125" bestFit="1" customWidth="1"/>
    <col min="9" max="9" width="16.28515625" bestFit="1" customWidth="1"/>
    <col min="10" max="11" width="13.28515625" customWidth="1"/>
    <col min="12" max="12" width="15.7109375" customWidth="1"/>
  </cols>
  <sheetData>
    <row r="2" spans="3:5" x14ac:dyDescent="0.25">
      <c r="C2" s="3" t="s">
        <v>156</v>
      </c>
    </row>
    <row r="3" spans="3:5" x14ac:dyDescent="0.25">
      <c r="C3" s="1" t="s">
        <v>97</v>
      </c>
      <c r="E3" s="1" t="s">
        <v>98</v>
      </c>
    </row>
    <row r="4" spans="3:5" x14ac:dyDescent="0.25">
      <c r="C4" s="38">
        <v>43221</v>
      </c>
      <c r="E4" s="59" t="s">
        <v>130</v>
      </c>
    </row>
    <row r="5" spans="3:5" x14ac:dyDescent="0.25">
      <c r="C5" s="58" t="s">
        <v>99</v>
      </c>
      <c r="D5" s="1"/>
    </row>
    <row r="6" spans="3:5" x14ac:dyDescent="0.25">
      <c r="C6" s="38" t="s">
        <v>133</v>
      </c>
      <c r="D6" s="1"/>
    </row>
    <row r="7" spans="3:5" x14ac:dyDescent="0.25">
      <c r="C7" s="37"/>
      <c r="D7" s="36"/>
    </row>
    <row r="9" spans="3:5" x14ac:dyDescent="0.25">
      <c r="C9" s="15"/>
    </row>
    <row r="10" spans="3:5" x14ac:dyDescent="0.25">
      <c r="C10" s="15"/>
    </row>
    <row r="11" spans="3:5" x14ac:dyDescent="0.25">
      <c r="C11" s="15"/>
    </row>
    <row r="13" spans="3:5" x14ac:dyDescent="0.25">
      <c r="C13" s="15"/>
    </row>
    <row r="14" spans="3:5" x14ac:dyDescent="0.25">
      <c r="C14" s="15"/>
    </row>
    <row r="15" spans="3:5" x14ac:dyDescent="0.25">
      <c r="C15" s="15"/>
    </row>
    <row r="17" spans="3:9" x14ac:dyDescent="0.25">
      <c r="C17" s="15"/>
    </row>
    <row r="18" spans="3:9" x14ac:dyDescent="0.25">
      <c r="C18" s="15"/>
    </row>
    <row r="19" spans="3:9" x14ac:dyDescent="0.25">
      <c r="C19" s="15"/>
    </row>
    <row r="21" spans="3:9" x14ac:dyDescent="0.25">
      <c r="C21" s="15"/>
    </row>
    <row r="22" spans="3:9" x14ac:dyDescent="0.25">
      <c r="C22" s="15"/>
    </row>
    <row r="26" spans="3:9" x14ac:dyDescent="0.25">
      <c r="C26" s="1" t="s">
        <v>5</v>
      </c>
      <c r="D26" s="46"/>
      <c r="E26" s="46"/>
      <c r="F26" s="45"/>
      <c r="G26" s="1" t="s">
        <v>6</v>
      </c>
    </row>
    <row r="27" spans="3:9" x14ac:dyDescent="0.25">
      <c r="C27" s="100" t="s">
        <v>134</v>
      </c>
      <c r="D27" s="17" t="s">
        <v>162</v>
      </c>
      <c r="E27" s="44"/>
      <c r="F27" s="46"/>
      <c r="G27" s="16" t="s">
        <v>134</v>
      </c>
      <c r="H27" s="16" t="s">
        <v>168</v>
      </c>
      <c r="I27" s="84"/>
    </row>
    <row r="28" spans="3:9" x14ac:dyDescent="0.25">
      <c r="C28" s="106">
        <v>43160</v>
      </c>
      <c r="D28" s="2" t="s">
        <v>163</v>
      </c>
      <c r="H28" s="83" t="s">
        <v>135</v>
      </c>
      <c r="I28" s="83" t="s">
        <v>136</v>
      </c>
    </row>
    <row r="29" spans="3:9" x14ac:dyDescent="0.25">
      <c r="C29" s="106">
        <v>43132</v>
      </c>
      <c r="D29" s="2" t="s">
        <v>173</v>
      </c>
      <c r="G29" s="1" t="s">
        <v>148</v>
      </c>
      <c r="H29" s="103" t="s">
        <v>164</v>
      </c>
      <c r="I29" s="104">
        <v>0.10810810810810811</v>
      </c>
    </row>
    <row r="30" spans="3:9" x14ac:dyDescent="0.25">
      <c r="C30" s="106">
        <v>43101</v>
      </c>
      <c r="D30" s="2" t="s">
        <v>163</v>
      </c>
      <c r="G30" s="1" t="s">
        <v>147</v>
      </c>
      <c r="H30" s="103" t="s">
        <v>165</v>
      </c>
      <c r="I30" s="104">
        <v>0.13513513513513514</v>
      </c>
    </row>
    <row r="31" spans="3:9" x14ac:dyDescent="0.25">
      <c r="C31" s="106">
        <v>43070</v>
      </c>
      <c r="D31" s="2" t="s">
        <v>163</v>
      </c>
      <c r="G31" s="1" t="s">
        <v>146</v>
      </c>
      <c r="H31" s="103" t="s">
        <v>166</v>
      </c>
      <c r="I31" s="104">
        <v>0.1891891891891892</v>
      </c>
    </row>
    <row r="32" spans="3:9" x14ac:dyDescent="0.25">
      <c r="C32" s="106">
        <v>43040</v>
      </c>
      <c r="D32" s="2" t="s">
        <v>163</v>
      </c>
      <c r="G32" s="1" t="s">
        <v>145</v>
      </c>
      <c r="H32" s="103" t="s">
        <v>165</v>
      </c>
      <c r="I32" s="104">
        <v>0.13513513513513514</v>
      </c>
    </row>
    <row r="33" spans="3:9" x14ac:dyDescent="0.25">
      <c r="C33" s="106">
        <v>43009</v>
      </c>
      <c r="D33" s="2" t="s">
        <v>163</v>
      </c>
      <c r="G33" s="1" t="s">
        <v>144</v>
      </c>
      <c r="H33" s="103" t="s">
        <v>166</v>
      </c>
      <c r="I33" s="104">
        <v>0.1891891891891892</v>
      </c>
    </row>
    <row r="34" spans="3:9" x14ac:dyDescent="0.25">
      <c r="C34" s="106">
        <v>42979</v>
      </c>
      <c r="D34" s="2" t="s">
        <v>163</v>
      </c>
      <c r="G34" s="1" t="s">
        <v>143</v>
      </c>
      <c r="H34" s="103" t="s">
        <v>167</v>
      </c>
      <c r="I34" s="104">
        <v>0.16216216216216217</v>
      </c>
    </row>
    <row r="35" spans="3:9" x14ac:dyDescent="0.25">
      <c r="C35" s="106">
        <v>42948</v>
      </c>
      <c r="D35" s="2" t="s">
        <v>163</v>
      </c>
      <c r="G35" s="1" t="s">
        <v>142</v>
      </c>
      <c r="H35" s="103" t="s">
        <v>167</v>
      </c>
      <c r="I35" s="104">
        <v>0.16216216216216217</v>
      </c>
    </row>
    <row r="36" spans="3:9" x14ac:dyDescent="0.25">
      <c r="C36" s="106">
        <v>42917</v>
      </c>
      <c r="D36" s="2" t="s">
        <v>163</v>
      </c>
      <c r="G36" s="1" t="s">
        <v>141</v>
      </c>
      <c r="H36" s="103" t="s">
        <v>167</v>
      </c>
      <c r="I36" s="104">
        <v>0.16216216216216217</v>
      </c>
    </row>
    <row r="37" spans="3:9" x14ac:dyDescent="0.25">
      <c r="C37" s="106">
        <v>42887</v>
      </c>
      <c r="D37" s="2" t="s">
        <v>163</v>
      </c>
      <c r="G37" s="1" t="s">
        <v>140</v>
      </c>
      <c r="H37" s="103" t="s">
        <v>166</v>
      </c>
      <c r="I37" s="104">
        <v>0.1891891891891892</v>
      </c>
    </row>
    <row r="38" spans="3:9" x14ac:dyDescent="0.25">
      <c r="C38" s="106"/>
      <c r="D38" s="2"/>
      <c r="G38" s="1" t="s">
        <v>139</v>
      </c>
      <c r="H38" s="103" t="s">
        <v>167</v>
      </c>
      <c r="I38" s="104">
        <v>0.16216216216216217</v>
      </c>
    </row>
    <row r="39" spans="3:9" x14ac:dyDescent="0.25">
      <c r="C39" s="105" t="s">
        <v>172</v>
      </c>
      <c r="D39" s="2"/>
      <c r="G39" s="1" t="s">
        <v>138</v>
      </c>
      <c r="H39" s="103" t="s">
        <v>167</v>
      </c>
      <c r="I39" s="104">
        <v>0.16216216216216217</v>
      </c>
    </row>
    <row r="40" spans="3:9" x14ac:dyDescent="0.25">
      <c r="E40" s="46"/>
      <c r="F40" s="46"/>
      <c r="G40" s="1" t="s">
        <v>137</v>
      </c>
      <c r="H40" s="103" t="s">
        <v>165</v>
      </c>
      <c r="I40" s="104">
        <v>0.13513513513513514</v>
      </c>
    </row>
    <row r="41" spans="3:9" x14ac:dyDescent="0.25">
      <c r="E41" s="46"/>
      <c r="F41" s="46"/>
    </row>
    <row r="42" spans="3:9" x14ac:dyDescent="0.25">
      <c r="E42" s="46"/>
      <c r="F42" s="46"/>
    </row>
    <row r="43" spans="3:9" x14ac:dyDescent="0.25">
      <c r="E43" s="46"/>
      <c r="F43" s="46"/>
    </row>
  </sheetData>
  <sortState ref="H26:K38">
    <sortCondition ref="H27"/>
  </sortState>
  <pageMargins left="0.25" right="0.25" top="0.75" bottom="0.75" header="0.3" footer="0.3"/>
  <pageSetup scale="70" orientation="landscape" r:id="rId1"/>
  <headerFooter>
    <oddHeader>&amp;L&amp;G&amp;C&amp;"-,Bold"&amp;10&amp;F - &amp;A&amp;R&amp;G</oddHeader>
    <oddFooter>&amp;L&amp;"-,Bold"&amp;10Draft, Proprietary, and Confidential&amp;R&amp;"-,Bold"&amp;10 &amp;P of &amp;N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3"/>
  <sheetViews>
    <sheetView showGridLines="0" view="pageLayout" topLeftCell="A4" zoomScale="115" zoomScaleNormal="100" zoomScalePageLayoutView="115" workbookViewId="0">
      <selection activeCell="B43" sqref="B43"/>
    </sheetView>
  </sheetViews>
  <sheetFormatPr defaultColWidth="9.140625" defaultRowHeight="15" x14ac:dyDescent="0.25"/>
  <cols>
    <col min="1" max="1" width="2.7109375" style="4" customWidth="1"/>
    <col min="2" max="2" width="12" style="4" bestFit="1" customWidth="1"/>
    <col min="3" max="4" width="12" style="4" customWidth="1"/>
    <col min="5" max="5" width="12.5703125" style="4" customWidth="1"/>
    <col min="6" max="6" width="37.5703125" style="4" customWidth="1"/>
    <col min="7" max="7" width="11" style="4" bestFit="1" customWidth="1"/>
    <col min="8" max="8" width="11" style="4" customWidth="1"/>
    <col min="9" max="9" width="11" style="4" bestFit="1" customWidth="1"/>
    <col min="10" max="10" width="11" style="4" customWidth="1"/>
    <col min="11" max="16384" width="9.140625" style="4"/>
  </cols>
  <sheetData>
    <row r="2" spans="2:10" x14ac:dyDescent="0.25">
      <c r="B2" s="3" t="s">
        <v>156</v>
      </c>
      <c r="C2" s="3"/>
      <c r="D2" s="3"/>
    </row>
    <row r="3" spans="2:10" x14ac:dyDescent="0.25">
      <c r="B3" s="38">
        <v>43221</v>
      </c>
      <c r="C3" s="38"/>
      <c r="D3" s="1" t="s">
        <v>130</v>
      </c>
    </row>
    <row r="4" spans="2:10" x14ac:dyDescent="0.25">
      <c r="B4" s="5"/>
      <c r="C4" s="5"/>
      <c r="D4" s="5"/>
    </row>
    <row r="5" spans="2:10" x14ac:dyDescent="0.25">
      <c r="B5" s="7" t="s">
        <v>161</v>
      </c>
      <c r="C5" s="7"/>
      <c r="D5" s="7"/>
      <c r="E5" s="8"/>
      <c r="F5" s="113"/>
      <c r="G5" s="14"/>
      <c r="H5" s="96"/>
      <c r="I5" s="14"/>
      <c r="J5" s="96"/>
    </row>
    <row r="6" spans="2:10" ht="5.0999999999999996" customHeight="1" x14ac:dyDescent="0.25">
      <c r="B6" s="14"/>
      <c r="C6" s="14"/>
      <c r="D6" s="14"/>
      <c r="E6" s="14"/>
      <c r="F6" s="14"/>
      <c r="G6" s="14"/>
      <c r="H6" s="14"/>
      <c r="I6" s="14"/>
      <c r="J6" s="14"/>
    </row>
    <row r="7" spans="2:10" ht="30" x14ac:dyDescent="0.25">
      <c r="B7" s="41" t="s">
        <v>158</v>
      </c>
      <c r="C7" s="41" t="s">
        <v>160</v>
      </c>
      <c r="D7" s="101" t="s">
        <v>159</v>
      </c>
      <c r="E7" s="109" t="s">
        <v>157</v>
      </c>
      <c r="F7" s="109" t="s">
        <v>169</v>
      </c>
      <c r="G7" s="97"/>
      <c r="H7" s="97"/>
      <c r="I7" s="97"/>
    </row>
    <row r="8" spans="2:10" x14ac:dyDescent="0.25">
      <c r="B8" s="43">
        <v>43160</v>
      </c>
      <c r="C8" s="42">
        <v>43220</v>
      </c>
      <c r="D8" s="102">
        <v>43213</v>
      </c>
      <c r="E8" s="110" t="s">
        <v>128</v>
      </c>
      <c r="F8" s="110"/>
      <c r="G8" s="99"/>
      <c r="H8" s="98"/>
      <c r="I8" s="99"/>
    </row>
    <row r="9" spans="2:10" x14ac:dyDescent="0.25">
      <c r="B9" s="43">
        <v>43132</v>
      </c>
      <c r="C9" s="42">
        <v>43190</v>
      </c>
      <c r="D9" s="102">
        <v>43194</v>
      </c>
      <c r="E9" s="110" t="s">
        <v>170</v>
      </c>
      <c r="F9" s="112" t="s">
        <v>171</v>
      </c>
      <c r="G9" s="99"/>
      <c r="H9" s="98"/>
      <c r="I9" s="99"/>
    </row>
    <row r="10" spans="2:10" x14ac:dyDescent="0.25">
      <c r="B10" s="43">
        <v>43101</v>
      </c>
      <c r="C10" s="42">
        <v>43159</v>
      </c>
      <c r="D10" s="102">
        <v>43138</v>
      </c>
      <c r="E10" s="111" t="s">
        <v>128</v>
      </c>
      <c r="F10" s="111"/>
      <c r="G10" s="99"/>
      <c r="H10" s="98"/>
      <c r="I10" s="99"/>
    </row>
    <row r="11" spans="2:10" x14ac:dyDescent="0.25">
      <c r="B11" s="43">
        <v>43070</v>
      </c>
      <c r="C11" s="42">
        <v>43131</v>
      </c>
      <c r="D11" s="102">
        <v>43104</v>
      </c>
      <c r="E11" s="111" t="s">
        <v>128</v>
      </c>
      <c r="F11" s="111"/>
      <c r="G11" s="99"/>
      <c r="H11" s="98"/>
      <c r="I11" s="99"/>
    </row>
    <row r="12" spans="2:10" x14ac:dyDescent="0.25">
      <c r="B12" s="43">
        <v>43040</v>
      </c>
      <c r="C12" s="42">
        <v>43100</v>
      </c>
      <c r="D12" s="102">
        <v>43073</v>
      </c>
      <c r="E12" s="111" t="s">
        <v>128</v>
      </c>
      <c r="F12" s="111"/>
      <c r="G12" s="99"/>
      <c r="H12" s="98"/>
      <c r="I12" s="99"/>
    </row>
    <row r="13" spans="2:10" x14ac:dyDescent="0.25">
      <c r="B13" s="43">
        <v>43009</v>
      </c>
      <c r="C13" s="42">
        <v>43069</v>
      </c>
      <c r="D13" s="102">
        <v>43041</v>
      </c>
      <c r="E13" s="111" t="s">
        <v>128</v>
      </c>
      <c r="F13" s="111"/>
      <c r="G13" s="99"/>
      <c r="H13" s="98"/>
      <c r="I13" s="99"/>
    </row>
    <row r="14" spans="2:10" x14ac:dyDescent="0.25">
      <c r="B14" s="43">
        <v>42979</v>
      </c>
      <c r="C14" s="42">
        <v>43039</v>
      </c>
      <c r="D14" s="102">
        <v>43010</v>
      </c>
      <c r="E14" s="111" t="s">
        <v>128</v>
      </c>
      <c r="F14" s="111"/>
      <c r="G14" s="99"/>
      <c r="H14" s="98"/>
      <c r="I14" s="99"/>
    </row>
    <row r="15" spans="2:10" x14ac:dyDescent="0.25">
      <c r="B15" s="43">
        <v>42948</v>
      </c>
      <c r="C15" s="42">
        <v>43008</v>
      </c>
      <c r="D15" s="102">
        <v>42980</v>
      </c>
      <c r="E15" s="111" t="s">
        <v>128</v>
      </c>
      <c r="F15" s="111"/>
      <c r="G15" s="99"/>
      <c r="H15" s="98"/>
      <c r="I15" s="99"/>
    </row>
    <row r="16" spans="2:10" x14ac:dyDescent="0.25">
      <c r="B16" s="43">
        <v>42917</v>
      </c>
      <c r="C16" s="42">
        <v>42978</v>
      </c>
      <c r="D16" s="102">
        <v>42949</v>
      </c>
      <c r="E16" s="111" t="s">
        <v>128</v>
      </c>
      <c r="F16" s="111"/>
      <c r="G16" s="99"/>
      <c r="H16" s="98"/>
      <c r="I16" s="99"/>
    </row>
    <row r="17" spans="2:9" x14ac:dyDescent="0.25">
      <c r="B17" s="43">
        <v>42887</v>
      </c>
      <c r="C17" s="42">
        <v>42947</v>
      </c>
      <c r="D17" s="102">
        <v>42921</v>
      </c>
      <c r="E17" s="111" t="s">
        <v>128</v>
      </c>
      <c r="F17" s="111"/>
      <c r="G17" s="99"/>
      <c r="H17" s="98"/>
      <c r="I17" s="99"/>
    </row>
    <row r="18" spans="2:9" x14ac:dyDescent="0.25">
      <c r="B18" s="6"/>
      <c r="C18" s="6"/>
      <c r="D18" s="6"/>
      <c r="E18" s="2"/>
    </row>
    <row r="19" spans="2:9" x14ac:dyDescent="0.25">
      <c r="B19" s="6"/>
      <c r="C19" s="6"/>
      <c r="D19" s="6"/>
    </row>
    <row r="20" spans="2:9" x14ac:dyDescent="0.25">
      <c r="B20" s="6"/>
      <c r="C20" s="6"/>
      <c r="D20" s="6"/>
    </row>
    <row r="21" spans="2:9" x14ac:dyDescent="0.25">
      <c r="B21" s="6"/>
      <c r="C21" s="6"/>
      <c r="D21" s="6"/>
    </row>
    <row r="22" spans="2:9" x14ac:dyDescent="0.25">
      <c r="B22" s="6"/>
      <c r="C22" s="6"/>
      <c r="D22" s="6"/>
    </row>
    <row r="23" spans="2:9" x14ac:dyDescent="0.25">
      <c r="B23" s="6"/>
      <c r="C23" s="6"/>
      <c r="D23" s="6"/>
    </row>
  </sheetData>
  <pageMargins left="0.25" right="0.25" top="0.75" bottom="0.75" header="0.3" footer="0.3"/>
  <pageSetup scale="75" fitToWidth="0" fitToHeight="0" orientation="landscape" r:id="rId1"/>
  <headerFooter>
    <oddHeader>&amp;L&amp;G&amp;C&amp;"-,Bold"&amp;10&amp;F - &amp;A&amp;R&amp;G</oddHeader>
    <oddFooter>&amp;L&amp;"-,Bold"&amp;10Draft, Proprietary, and Confidential&amp;R&amp;"-,Bold"&amp;10 &amp;P of &amp;N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H46"/>
  <sheetViews>
    <sheetView showGridLines="0" tabSelected="1" zoomScaleNormal="100" workbookViewId="0">
      <selection activeCell="F9" sqref="F9"/>
    </sheetView>
  </sheetViews>
  <sheetFormatPr defaultColWidth="9.140625" defaultRowHeight="15" x14ac:dyDescent="0.25"/>
  <cols>
    <col min="1" max="1" width="2.7109375" style="4" customWidth="1"/>
    <col min="2" max="2" width="3" style="4" customWidth="1"/>
    <col min="3" max="3" width="28.28515625" style="4" customWidth="1"/>
    <col min="4" max="4" width="25" style="4" customWidth="1"/>
    <col min="5" max="5" width="7.7109375" style="4" bestFit="1" customWidth="1"/>
    <col min="6" max="6" width="56.140625" style="27" customWidth="1"/>
    <col min="7" max="7" width="10.5703125" style="4" customWidth="1"/>
    <col min="8" max="8" width="12.28515625" style="4" bestFit="1" customWidth="1"/>
    <col min="9" max="9" width="10.140625" style="4" customWidth="1"/>
    <col min="10" max="10" width="8.140625" style="4" customWidth="1"/>
    <col min="11" max="11" width="10.140625" style="4" customWidth="1"/>
    <col min="12" max="12" width="8.140625" style="4" customWidth="1"/>
    <col min="13" max="13" width="10.140625" style="4" customWidth="1"/>
    <col min="14" max="14" width="8.140625" style="4" customWidth="1"/>
    <col min="15" max="15" width="10.140625" style="4" customWidth="1"/>
    <col min="16" max="16" width="8.140625" style="4" customWidth="1"/>
    <col min="17" max="17" width="10.140625" style="4" customWidth="1"/>
    <col min="18" max="18" width="8.140625" style="4" customWidth="1"/>
    <col min="19" max="19" width="10.140625" style="4" customWidth="1"/>
    <col min="20" max="20" width="8.140625" style="4" customWidth="1"/>
    <col min="21" max="21" width="10.140625" style="4" customWidth="1"/>
    <col min="22" max="22" width="8.140625" style="4" customWidth="1"/>
    <col min="23" max="23" width="10.140625" style="4" customWidth="1"/>
    <col min="24" max="24" width="8.140625" style="4" customWidth="1"/>
    <col min="25" max="25" width="10.140625" style="4" customWidth="1"/>
    <col min="26" max="26" width="8.140625" style="4" customWidth="1"/>
    <col min="27" max="27" width="10.140625" style="4" customWidth="1"/>
    <col min="28" max="28" width="8.140625" style="4" customWidth="1"/>
    <col min="29" max="29" width="10.140625" style="4" customWidth="1"/>
    <col min="30" max="30" width="8.28515625" style="4" customWidth="1"/>
    <col min="31" max="31" width="10.140625" style="4" customWidth="1"/>
    <col min="32" max="32" width="8.28515625" style="4" customWidth="1"/>
    <col min="33" max="33" width="13.28515625" style="4" bestFit="1" customWidth="1"/>
    <col min="34" max="34" width="8.140625" style="4" customWidth="1"/>
    <col min="35" max="16384" width="9.140625" style="4"/>
  </cols>
  <sheetData>
    <row r="2" spans="2:34" x14ac:dyDescent="0.25">
      <c r="B2" s="3"/>
      <c r="C2" s="3" t="s">
        <v>156</v>
      </c>
      <c r="D2" s="28"/>
      <c r="E2" s="3"/>
      <c r="F2" s="33"/>
    </row>
    <row r="3" spans="2:34" x14ac:dyDescent="0.25">
      <c r="B3" s="1"/>
      <c r="C3" s="39">
        <v>43221</v>
      </c>
      <c r="D3" s="1" t="s">
        <v>130</v>
      </c>
      <c r="E3" s="5"/>
      <c r="F3" s="78"/>
    </row>
    <row r="4" spans="2:34" ht="30" x14ac:dyDescent="0.25">
      <c r="B4" s="5"/>
      <c r="C4" s="5"/>
      <c r="D4" s="5"/>
      <c r="E4" s="5"/>
      <c r="F4" s="4"/>
      <c r="I4" s="60" t="s">
        <v>95</v>
      </c>
      <c r="K4" s="60" t="s">
        <v>95</v>
      </c>
      <c r="M4" s="60" t="s">
        <v>95</v>
      </c>
      <c r="O4" s="60" t="s">
        <v>95</v>
      </c>
      <c r="Q4" s="60" t="s">
        <v>95</v>
      </c>
      <c r="S4" s="60" t="s">
        <v>95</v>
      </c>
      <c r="U4" s="60" t="s">
        <v>95</v>
      </c>
      <c r="W4" s="60" t="s">
        <v>95</v>
      </c>
      <c r="Y4" s="60" t="s">
        <v>95</v>
      </c>
      <c r="AA4" s="60" t="s">
        <v>95</v>
      </c>
      <c r="AC4" s="60" t="s">
        <v>95</v>
      </c>
      <c r="AE4" s="60" t="s">
        <v>95</v>
      </c>
    </row>
    <row r="5" spans="2:34" x14ac:dyDescent="0.25">
      <c r="B5" s="29"/>
      <c r="C5" s="7" t="s">
        <v>8</v>
      </c>
      <c r="D5" s="7"/>
      <c r="E5" s="23"/>
      <c r="F5" s="7"/>
      <c r="G5" s="7"/>
      <c r="H5" s="7" t="s">
        <v>155</v>
      </c>
      <c r="I5" s="61">
        <v>42767</v>
      </c>
      <c r="J5" s="8">
        <v>4</v>
      </c>
      <c r="K5" s="61">
        <v>42795</v>
      </c>
      <c r="L5" s="8">
        <v>5</v>
      </c>
      <c r="M5" s="61">
        <v>42826</v>
      </c>
      <c r="N5" s="8">
        <v>7</v>
      </c>
      <c r="O5" s="61">
        <v>42856</v>
      </c>
      <c r="P5" s="8">
        <v>5</v>
      </c>
      <c r="Q5" s="61">
        <v>42887</v>
      </c>
      <c r="R5" s="8">
        <v>7</v>
      </c>
      <c r="S5" s="61">
        <v>42917</v>
      </c>
      <c r="T5" s="8">
        <v>6</v>
      </c>
      <c r="U5" s="61">
        <v>42948</v>
      </c>
      <c r="V5" s="8">
        <v>6</v>
      </c>
      <c r="W5" s="61">
        <v>42979</v>
      </c>
      <c r="X5" s="8">
        <v>6</v>
      </c>
      <c r="Y5" s="61">
        <v>43009</v>
      </c>
      <c r="Z5" s="8">
        <v>7</v>
      </c>
      <c r="AA5" s="61">
        <v>43040</v>
      </c>
      <c r="AB5" s="8">
        <v>6</v>
      </c>
      <c r="AC5" s="61">
        <v>43070</v>
      </c>
      <c r="AD5" s="85">
        <v>6</v>
      </c>
      <c r="AE5" s="86">
        <v>43101</v>
      </c>
      <c r="AF5" s="85">
        <v>5</v>
      </c>
      <c r="AG5" s="87" t="s">
        <v>149</v>
      </c>
      <c r="AH5" s="8">
        <v>8</v>
      </c>
    </row>
    <row r="6" spans="2:34" ht="5.0999999999999996" customHeight="1" x14ac:dyDescent="0.25">
      <c r="B6" s="30"/>
      <c r="C6" s="9"/>
      <c r="D6" s="9"/>
      <c r="E6" s="24"/>
      <c r="F6" s="9"/>
      <c r="G6" s="9"/>
      <c r="H6" s="9"/>
      <c r="I6" s="40"/>
      <c r="J6" s="9"/>
      <c r="K6" s="40"/>
      <c r="L6" s="9"/>
      <c r="M6" s="40"/>
      <c r="N6" s="9"/>
      <c r="O6" s="40"/>
      <c r="P6" s="9"/>
      <c r="Q6" s="40"/>
      <c r="R6" s="9"/>
      <c r="S6" s="40"/>
      <c r="T6" s="9"/>
      <c r="U6" s="40"/>
      <c r="V6" s="9"/>
      <c r="W6" s="40"/>
      <c r="X6" s="9"/>
      <c r="Y6" s="40"/>
      <c r="Z6" s="9"/>
      <c r="AA6" s="40"/>
      <c r="AB6" s="9"/>
      <c r="AC6" s="40"/>
      <c r="AD6" s="30"/>
      <c r="AE6" s="88"/>
      <c r="AF6" s="30"/>
      <c r="AG6" s="88"/>
      <c r="AH6" s="9"/>
    </row>
    <row r="7" spans="2:34" ht="15" customHeight="1" x14ac:dyDescent="0.25">
      <c r="B7" s="35" t="s">
        <v>21</v>
      </c>
      <c r="C7" s="10" t="s">
        <v>9</v>
      </c>
      <c r="D7" s="10" t="s">
        <v>150</v>
      </c>
      <c r="E7" s="25" t="s">
        <v>22</v>
      </c>
      <c r="F7" s="10" t="s">
        <v>10</v>
      </c>
      <c r="G7" s="10" t="s">
        <v>92</v>
      </c>
      <c r="H7" s="11" t="s">
        <v>151</v>
      </c>
      <c r="I7" s="48" t="s">
        <v>12</v>
      </c>
      <c r="J7" s="55"/>
      <c r="K7" s="48" t="s">
        <v>12</v>
      </c>
      <c r="L7" s="55"/>
      <c r="M7" s="48" t="s">
        <v>12</v>
      </c>
      <c r="N7" s="55"/>
      <c r="O7" s="48" t="s">
        <v>12</v>
      </c>
      <c r="P7" s="55"/>
      <c r="Q7" s="48" t="s">
        <v>12</v>
      </c>
      <c r="R7" s="55"/>
      <c r="S7" s="48" t="s">
        <v>12</v>
      </c>
      <c r="T7" s="55"/>
      <c r="U7" s="48" t="s">
        <v>12</v>
      </c>
      <c r="V7" s="55"/>
      <c r="W7" s="48" t="s">
        <v>12</v>
      </c>
      <c r="X7" s="55"/>
      <c r="Y7" s="48" t="s">
        <v>12</v>
      </c>
      <c r="Z7" s="55"/>
      <c r="AA7" s="48" t="s">
        <v>12</v>
      </c>
      <c r="AB7" s="55"/>
      <c r="AC7" s="47" t="s">
        <v>12</v>
      </c>
      <c r="AD7" s="31"/>
      <c r="AE7" s="76" t="s">
        <v>12</v>
      </c>
      <c r="AF7" s="31"/>
      <c r="AG7" s="89"/>
      <c r="AH7" s="10"/>
    </row>
    <row r="8" spans="2:34" x14ac:dyDescent="0.25">
      <c r="B8" s="35"/>
      <c r="C8" s="18"/>
      <c r="D8" s="18"/>
      <c r="E8" s="26"/>
      <c r="F8" s="10"/>
      <c r="G8" s="10"/>
      <c r="H8" s="19">
        <v>37</v>
      </c>
      <c r="I8" s="52"/>
      <c r="J8" s="57"/>
      <c r="K8" s="52"/>
      <c r="L8" s="57"/>
      <c r="M8" s="52"/>
      <c r="N8" s="57"/>
      <c r="O8" s="52"/>
      <c r="P8" s="57"/>
      <c r="Q8" s="52"/>
      <c r="R8" s="57"/>
      <c r="S8" s="52"/>
      <c r="T8" s="57"/>
      <c r="U8" s="52"/>
      <c r="V8" s="57"/>
      <c r="W8" s="52"/>
      <c r="X8" s="57"/>
      <c r="Y8" s="52"/>
      <c r="Z8" s="57"/>
      <c r="AA8" s="52"/>
      <c r="AB8" s="57"/>
      <c r="AC8" s="47"/>
      <c r="AD8" s="90"/>
      <c r="AE8" s="76"/>
      <c r="AF8" s="90"/>
      <c r="AG8" s="89"/>
      <c r="AH8" s="10" t="s">
        <v>96</v>
      </c>
    </row>
    <row r="9" spans="2:34" ht="45" x14ac:dyDescent="0.25">
      <c r="B9" s="35"/>
      <c r="C9" s="18"/>
      <c r="D9" s="18"/>
      <c r="E9" s="26"/>
      <c r="F9" s="10"/>
      <c r="G9" s="10"/>
      <c r="H9" s="19"/>
      <c r="I9" s="53" t="s">
        <v>101</v>
      </c>
      <c r="J9" s="56">
        <v>43191</v>
      </c>
      <c r="K9" s="53" t="s">
        <v>101</v>
      </c>
      <c r="L9" s="56">
        <v>43191</v>
      </c>
      <c r="M9" s="53" t="s">
        <v>101</v>
      </c>
      <c r="N9" s="56">
        <v>43191</v>
      </c>
      <c r="O9" s="53" t="s">
        <v>101</v>
      </c>
      <c r="P9" s="56">
        <v>43191</v>
      </c>
      <c r="Q9" s="53" t="s">
        <v>101</v>
      </c>
      <c r="R9" s="56">
        <v>43191</v>
      </c>
      <c r="S9" s="53" t="s">
        <v>101</v>
      </c>
      <c r="T9" s="56">
        <v>43191</v>
      </c>
      <c r="U9" s="53" t="s">
        <v>101</v>
      </c>
      <c r="V9" s="56">
        <v>43191</v>
      </c>
      <c r="W9" s="53" t="s">
        <v>101</v>
      </c>
      <c r="X9" s="56">
        <v>43191</v>
      </c>
      <c r="Y9" s="53" t="s">
        <v>101</v>
      </c>
      <c r="Z9" s="56">
        <v>43191</v>
      </c>
      <c r="AA9" s="53" t="s">
        <v>101</v>
      </c>
      <c r="AB9" s="56">
        <v>43191</v>
      </c>
      <c r="AC9" s="53" t="s">
        <v>101</v>
      </c>
      <c r="AD9" s="91">
        <v>43191</v>
      </c>
      <c r="AE9" s="77" t="s">
        <v>101</v>
      </c>
      <c r="AF9" s="91">
        <v>43191</v>
      </c>
      <c r="AG9" s="92" t="s">
        <v>102</v>
      </c>
      <c r="AH9" s="10"/>
    </row>
    <row r="10" spans="2:34" s="9" customFormat="1" x14ac:dyDescent="0.25">
      <c r="B10" s="34">
        <v>1</v>
      </c>
      <c r="C10" s="4" t="s">
        <v>88</v>
      </c>
      <c r="D10" s="4" t="s">
        <v>58</v>
      </c>
      <c r="E10" s="107">
        <v>76</v>
      </c>
      <c r="F10" s="4" t="s">
        <v>13</v>
      </c>
      <c r="G10" s="4"/>
      <c r="H10" s="21">
        <v>1</v>
      </c>
      <c r="I10" s="95">
        <v>1109989</v>
      </c>
      <c r="J10" s="33">
        <v>1</v>
      </c>
      <c r="K10" s="95">
        <v>1276056</v>
      </c>
      <c r="L10" s="33">
        <v>1</v>
      </c>
      <c r="M10" s="95">
        <v>1171853</v>
      </c>
      <c r="N10" s="33">
        <v>1</v>
      </c>
      <c r="O10" s="95">
        <v>1280996</v>
      </c>
      <c r="P10" s="33">
        <v>1</v>
      </c>
      <c r="Q10" s="95">
        <v>1194535</v>
      </c>
      <c r="R10" s="33">
        <v>1</v>
      </c>
      <c r="S10" s="95">
        <v>1078395</v>
      </c>
      <c r="T10" s="33">
        <v>1</v>
      </c>
      <c r="U10" s="95">
        <v>1144810</v>
      </c>
      <c r="V10" s="33">
        <v>1</v>
      </c>
      <c r="W10" s="95">
        <v>1088991</v>
      </c>
      <c r="X10" s="33">
        <v>1</v>
      </c>
      <c r="Y10" s="95">
        <v>1131664</v>
      </c>
      <c r="Z10" s="33">
        <v>1</v>
      </c>
      <c r="AA10" s="95">
        <v>1045704</v>
      </c>
      <c r="AB10" s="33">
        <v>1</v>
      </c>
      <c r="AC10" s="95">
        <v>968842</v>
      </c>
      <c r="AD10" s="81">
        <v>1</v>
      </c>
      <c r="AE10" s="95">
        <v>916808</v>
      </c>
      <c r="AF10" s="81">
        <v>1</v>
      </c>
      <c r="AG10" s="93">
        <v>13408643</v>
      </c>
      <c r="AH10" s="82">
        <v>1</v>
      </c>
    </row>
    <row r="11" spans="2:34" s="9" customFormat="1" x14ac:dyDescent="0.25">
      <c r="B11" s="34">
        <v>2</v>
      </c>
      <c r="C11" s="4" t="s">
        <v>24</v>
      </c>
      <c r="D11" s="4" t="s">
        <v>59</v>
      </c>
      <c r="E11" s="107">
        <v>17</v>
      </c>
      <c r="F11" s="4" t="s">
        <v>13</v>
      </c>
      <c r="G11" s="4"/>
      <c r="H11" s="21">
        <v>1</v>
      </c>
      <c r="I11" s="95">
        <v>1109989</v>
      </c>
      <c r="J11" s="33">
        <v>1</v>
      </c>
      <c r="K11" s="95">
        <v>1276056</v>
      </c>
      <c r="L11" s="33">
        <v>1</v>
      </c>
      <c r="M11" s="95">
        <v>1171853</v>
      </c>
      <c r="N11" s="33">
        <v>1</v>
      </c>
      <c r="O11" s="95">
        <v>1280996</v>
      </c>
      <c r="P11" s="33">
        <v>1</v>
      </c>
      <c r="Q11" s="95">
        <v>1194535</v>
      </c>
      <c r="R11" s="33">
        <v>1</v>
      </c>
      <c r="S11" s="95">
        <v>1078395</v>
      </c>
      <c r="T11" s="33">
        <v>1</v>
      </c>
      <c r="U11" s="95">
        <v>1144810</v>
      </c>
      <c r="V11" s="33">
        <v>1</v>
      </c>
      <c r="W11" s="95">
        <v>1088991</v>
      </c>
      <c r="X11" s="33">
        <v>1</v>
      </c>
      <c r="Y11" s="95">
        <v>1131664</v>
      </c>
      <c r="Z11" s="33">
        <v>1</v>
      </c>
      <c r="AA11" s="95">
        <v>1045704</v>
      </c>
      <c r="AB11" s="33">
        <v>1</v>
      </c>
      <c r="AC11" s="95">
        <v>968842</v>
      </c>
      <c r="AD11" s="81">
        <v>1</v>
      </c>
      <c r="AE11" s="95">
        <v>916808</v>
      </c>
      <c r="AF11" s="81">
        <v>1</v>
      </c>
      <c r="AG11" s="93">
        <v>13408643</v>
      </c>
      <c r="AH11" s="82">
        <v>1</v>
      </c>
    </row>
    <row r="12" spans="2:34" x14ac:dyDescent="0.25">
      <c r="B12" s="34">
        <v>3</v>
      </c>
      <c r="C12" s="4" t="s">
        <v>25</v>
      </c>
      <c r="D12" s="4" t="s">
        <v>60</v>
      </c>
      <c r="E12" s="107">
        <v>18</v>
      </c>
      <c r="F12" s="4" t="s">
        <v>13</v>
      </c>
      <c r="H12" s="21">
        <v>1</v>
      </c>
      <c r="I12" s="95">
        <v>1109989</v>
      </c>
      <c r="J12" s="33">
        <v>1</v>
      </c>
      <c r="K12" s="95">
        <v>1276056</v>
      </c>
      <c r="L12" s="33">
        <v>1</v>
      </c>
      <c r="M12" s="95">
        <v>1171853</v>
      </c>
      <c r="N12" s="33">
        <v>1</v>
      </c>
      <c r="O12" s="95">
        <v>1280996</v>
      </c>
      <c r="P12" s="33">
        <v>1</v>
      </c>
      <c r="Q12" s="95">
        <v>1194535</v>
      </c>
      <c r="R12" s="33">
        <v>1</v>
      </c>
      <c r="S12" s="95">
        <v>1078395</v>
      </c>
      <c r="T12" s="33">
        <v>1</v>
      </c>
      <c r="U12" s="95">
        <v>1144810</v>
      </c>
      <c r="V12" s="33">
        <v>1</v>
      </c>
      <c r="W12" s="95">
        <v>1088991</v>
      </c>
      <c r="X12" s="33">
        <v>1</v>
      </c>
      <c r="Y12" s="95">
        <v>1131664</v>
      </c>
      <c r="Z12" s="33">
        <v>1</v>
      </c>
      <c r="AA12" s="95">
        <v>1045704</v>
      </c>
      <c r="AB12" s="33">
        <v>1</v>
      </c>
      <c r="AC12" s="95">
        <v>968842</v>
      </c>
      <c r="AD12" s="81">
        <v>1</v>
      </c>
      <c r="AE12" s="95">
        <v>916808</v>
      </c>
      <c r="AF12" s="81">
        <v>1</v>
      </c>
      <c r="AG12" s="93">
        <v>13408643</v>
      </c>
      <c r="AH12" s="82">
        <v>1</v>
      </c>
    </row>
    <row r="13" spans="2:34" x14ac:dyDescent="0.25">
      <c r="B13" s="34">
        <v>4</v>
      </c>
      <c r="C13" s="4" t="s">
        <v>26</v>
      </c>
      <c r="D13" s="4" t="s">
        <v>61</v>
      </c>
      <c r="E13" s="107">
        <v>50</v>
      </c>
      <c r="F13" s="4" t="s">
        <v>13</v>
      </c>
      <c r="H13" s="21">
        <v>1</v>
      </c>
      <c r="I13" s="95">
        <v>1109989</v>
      </c>
      <c r="J13" s="33">
        <v>1</v>
      </c>
      <c r="K13" s="95">
        <v>1276056</v>
      </c>
      <c r="L13" s="33">
        <v>1</v>
      </c>
      <c r="M13" s="95">
        <v>1171853</v>
      </c>
      <c r="N13" s="33">
        <v>1</v>
      </c>
      <c r="O13" s="95">
        <v>1280996</v>
      </c>
      <c r="P13" s="33">
        <v>1</v>
      </c>
      <c r="Q13" s="95">
        <v>1194535</v>
      </c>
      <c r="R13" s="33">
        <v>1</v>
      </c>
      <c r="S13" s="95">
        <v>1078395</v>
      </c>
      <c r="T13" s="33">
        <v>1</v>
      </c>
      <c r="U13" s="95">
        <v>1144810</v>
      </c>
      <c r="V13" s="33">
        <v>1</v>
      </c>
      <c r="W13" s="95">
        <v>1088991</v>
      </c>
      <c r="X13" s="33">
        <v>1</v>
      </c>
      <c r="Y13" s="95">
        <v>1131664</v>
      </c>
      <c r="Z13" s="33">
        <v>1</v>
      </c>
      <c r="AA13" s="95">
        <v>1045704</v>
      </c>
      <c r="AB13" s="33">
        <v>1</v>
      </c>
      <c r="AC13" s="95">
        <v>968842</v>
      </c>
      <c r="AD13" s="81">
        <v>1</v>
      </c>
      <c r="AE13" s="95">
        <v>916808</v>
      </c>
      <c r="AF13" s="81">
        <v>1</v>
      </c>
      <c r="AG13" s="93">
        <v>13408643</v>
      </c>
      <c r="AH13" s="82">
        <v>1</v>
      </c>
    </row>
    <row r="14" spans="2:34" x14ac:dyDescent="0.25">
      <c r="B14" s="34">
        <v>5</v>
      </c>
      <c r="C14" s="4" t="s">
        <v>27</v>
      </c>
      <c r="D14" s="4" t="s">
        <v>62</v>
      </c>
      <c r="E14" s="107">
        <v>51</v>
      </c>
      <c r="F14" s="4" t="s">
        <v>13</v>
      </c>
      <c r="H14" s="21">
        <v>1</v>
      </c>
      <c r="I14" s="95">
        <v>1109989</v>
      </c>
      <c r="J14" s="33">
        <v>1</v>
      </c>
      <c r="K14" s="95">
        <v>1276056</v>
      </c>
      <c r="L14" s="33">
        <v>1</v>
      </c>
      <c r="M14" s="95">
        <v>1171853</v>
      </c>
      <c r="N14" s="33">
        <v>1</v>
      </c>
      <c r="O14" s="95">
        <v>1280996</v>
      </c>
      <c r="P14" s="33">
        <v>1</v>
      </c>
      <c r="Q14" s="95">
        <v>1194535</v>
      </c>
      <c r="R14" s="33">
        <v>1</v>
      </c>
      <c r="S14" s="95">
        <v>1078395</v>
      </c>
      <c r="T14" s="33">
        <v>1</v>
      </c>
      <c r="U14" s="95">
        <v>1144810</v>
      </c>
      <c r="V14" s="33">
        <v>1</v>
      </c>
      <c r="W14" s="95">
        <v>1088991</v>
      </c>
      <c r="X14" s="33">
        <v>1</v>
      </c>
      <c r="Y14" s="95">
        <v>1131664</v>
      </c>
      <c r="Z14" s="33">
        <v>1</v>
      </c>
      <c r="AA14" s="95">
        <v>1045704</v>
      </c>
      <c r="AB14" s="33">
        <v>1</v>
      </c>
      <c r="AC14" s="95">
        <v>968842</v>
      </c>
      <c r="AD14" s="81">
        <v>1</v>
      </c>
      <c r="AE14" s="95">
        <v>916808</v>
      </c>
      <c r="AF14" s="81">
        <v>1</v>
      </c>
      <c r="AG14" s="93">
        <v>13408643</v>
      </c>
      <c r="AH14" s="82">
        <v>1</v>
      </c>
    </row>
    <row r="15" spans="2:34" x14ac:dyDescent="0.25">
      <c r="B15" s="34">
        <v>6</v>
      </c>
      <c r="C15" s="4" t="s">
        <v>29</v>
      </c>
      <c r="D15" s="4" t="s">
        <v>63</v>
      </c>
      <c r="E15" s="107">
        <v>58</v>
      </c>
      <c r="F15" s="4" t="s">
        <v>13</v>
      </c>
      <c r="H15" s="21">
        <v>1</v>
      </c>
      <c r="I15" s="95">
        <v>1109989</v>
      </c>
      <c r="J15" s="33">
        <v>1</v>
      </c>
      <c r="K15" s="95">
        <v>1276056</v>
      </c>
      <c r="L15" s="33">
        <v>1</v>
      </c>
      <c r="M15" s="95">
        <v>1171853</v>
      </c>
      <c r="N15" s="33">
        <v>1</v>
      </c>
      <c r="O15" s="95">
        <v>1280996</v>
      </c>
      <c r="P15" s="33">
        <v>1</v>
      </c>
      <c r="Q15" s="95">
        <v>1194535</v>
      </c>
      <c r="R15" s="33">
        <v>1</v>
      </c>
      <c r="S15" s="95">
        <v>1078395</v>
      </c>
      <c r="T15" s="33">
        <v>1</v>
      </c>
      <c r="U15" s="95">
        <v>1144810</v>
      </c>
      <c r="V15" s="33">
        <v>1</v>
      </c>
      <c r="W15" s="95">
        <v>1088991</v>
      </c>
      <c r="X15" s="33">
        <v>1</v>
      </c>
      <c r="Y15" s="95">
        <v>1131664</v>
      </c>
      <c r="Z15" s="33">
        <v>1</v>
      </c>
      <c r="AA15" s="95">
        <v>1045704</v>
      </c>
      <c r="AB15" s="33">
        <v>1</v>
      </c>
      <c r="AC15" s="95">
        <v>968842</v>
      </c>
      <c r="AD15" s="81">
        <v>1</v>
      </c>
      <c r="AE15" s="95">
        <v>916808</v>
      </c>
      <c r="AF15" s="81">
        <v>1</v>
      </c>
      <c r="AG15" s="93">
        <v>13408643</v>
      </c>
      <c r="AH15" s="82">
        <v>1</v>
      </c>
    </row>
    <row r="16" spans="2:34" x14ac:dyDescent="0.25">
      <c r="B16" s="34">
        <v>7</v>
      </c>
      <c r="C16" s="4" t="s">
        <v>30</v>
      </c>
      <c r="D16" s="4" t="s">
        <v>64</v>
      </c>
      <c r="E16" s="107">
        <v>93</v>
      </c>
      <c r="F16" s="4" t="s">
        <v>13</v>
      </c>
      <c r="H16" s="21">
        <v>1</v>
      </c>
      <c r="I16" s="95">
        <v>1109989</v>
      </c>
      <c r="J16" s="33">
        <v>1</v>
      </c>
      <c r="K16" s="95">
        <v>1276056</v>
      </c>
      <c r="L16" s="33">
        <v>1</v>
      </c>
      <c r="M16" s="95">
        <v>1171853</v>
      </c>
      <c r="N16" s="33">
        <v>1</v>
      </c>
      <c r="O16" s="95">
        <v>1280996</v>
      </c>
      <c r="P16" s="33">
        <v>1</v>
      </c>
      <c r="Q16" s="95">
        <v>1194535</v>
      </c>
      <c r="R16" s="33">
        <v>1</v>
      </c>
      <c r="S16" s="95">
        <v>1078395</v>
      </c>
      <c r="T16" s="33">
        <v>1</v>
      </c>
      <c r="U16" s="95">
        <v>1144810</v>
      </c>
      <c r="V16" s="33">
        <v>1</v>
      </c>
      <c r="W16" s="95">
        <v>1088991</v>
      </c>
      <c r="X16" s="33">
        <v>1</v>
      </c>
      <c r="Y16" s="95">
        <v>1131664</v>
      </c>
      <c r="Z16" s="33">
        <v>1</v>
      </c>
      <c r="AA16" s="95">
        <v>1045704</v>
      </c>
      <c r="AB16" s="33">
        <v>1</v>
      </c>
      <c r="AC16" s="95">
        <v>968842</v>
      </c>
      <c r="AD16" s="81">
        <v>1</v>
      </c>
      <c r="AE16" s="95">
        <v>916808</v>
      </c>
      <c r="AF16" s="81">
        <v>1</v>
      </c>
      <c r="AG16" s="93">
        <v>13408643</v>
      </c>
      <c r="AH16" s="82">
        <v>1</v>
      </c>
    </row>
    <row r="17" spans="2:34" x14ac:dyDescent="0.25">
      <c r="B17" s="34">
        <v>8</v>
      </c>
      <c r="C17" s="4" t="s">
        <v>31</v>
      </c>
      <c r="D17" s="4" t="s">
        <v>65</v>
      </c>
      <c r="E17" s="107">
        <v>81</v>
      </c>
      <c r="F17" s="4" t="s">
        <v>14</v>
      </c>
      <c r="H17" s="21">
        <v>1</v>
      </c>
      <c r="I17" s="95">
        <v>237603</v>
      </c>
      <c r="J17" s="33">
        <v>1</v>
      </c>
      <c r="K17" s="95">
        <v>267721</v>
      </c>
      <c r="L17" s="33">
        <v>1</v>
      </c>
      <c r="M17" s="95">
        <v>244803</v>
      </c>
      <c r="N17" s="33">
        <v>1</v>
      </c>
      <c r="O17" s="95">
        <v>265778</v>
      </c>
      <c r="P17" s="33">
        <v>1</v>
      </c>
      <c r="Q17" s="95">
        <v>245838</v>
      </c>
      <c r="R17" s="33">
        <v>1</v>
      </c>
      <c r="S17" s="95">
        <v>225267</v>
      </c>
      <c r="T17" s="33">
        <v>1</v>
      </c>
      <c r="U17" s="95">
        <v>235237</v>
      </c>
      <c r="V17" s="33">
        <v>1</v>
      </c>
      <c r="W17" s="95">
        <v>225295</v>
      </c>
      <c r="X17" s="33">
        <v>1</v>
      </c>
      <c r="Y17" s="95">
        <v>227574</v>
      </c>
      <c r="Z17" s="33">
        <v>1</v>
      </c>
      <c r="AA17" s="95">
        <v>217305</v>
      </c>
      <c r="AB17" s="33">
        <v>1</v>
      </c>
      <c r="AC17" s="95">
        <v>211644</v>
      </c>
      <c r="AD17" s="81">
        <v>1</v>
      </c>
      <c r="AE17" s="95">
        <v>225556</v>
      </c>
      <c r="AF17" s="81">
        <v>1</v>
      </c>
      <c r="AG17" s="93">
        <v>2829621</v>
      </c>
      <c r="AH17" s="82">
        <v>1</v>
      </c>
    </row>
    <row r="18" spans="2:34" x14ac:dyDescent="0.25">
      <c r="B18" s="34">
        <v>9</v>
      </c>
      <c r="C18" s="4" t="s">
        <v>32</v>
      </c>
      <c r="D18" s="4" t="s">
        <v>66</v>
      </c>
      <c r="E18" s="107">
        <v>94</v>
      </c>
      <c r="F18" s="4" t="s">
        <v>14</v>
      </c>
      <c r="H18" s="21">
        <v>1</v>
      </c>
      <c r="I18" s="95">
        <v>237603</v>
      </c>
      <c r="J18" s="33">
        <v>1</v>
      </c>
      <c r="K18" s="95">
        <v>267721</v>
      </c>
      <c r="L18" s="33">
        <v>1</v>
      </c>
      <c r="M18" s="95">
        <v>244803</v>
      </c>
      <c r="N18" s="33">
        <v>1</v>
      </c>
      <c r="O18" s="95">
        <v>265778</v>
      </c>
      <c r="P18" s="33">
        <v>1</v>
      </c>
      <c r="Q18" s="95">
        <v>245838</v>
      </c>
      <c r="R18" s="33">
        <v>1</v>
      </c>
      <c r="S18" s="95">
        <v>225267</v>
      </c>
      <c r="T18" s="33">
        <v>1</v>
      </c>
      <c r="U18" s="95">
        <v>235237</v>
      </c>
      <c r="V18" s="33">
        <v>1</v>
      </c>
      <c r="W18" s="95">
        <v>225295</v>
      </c>
      <c r="X18" s="33">
        <v>1</v>
      </c>
      <c r="Y18" s="95">
        <v>227574</v>
      </c>
      <c r="Z18" s="33">
        <v>1</v>
      </c>
      <c r="AA18" s="95">
        <v>217305</v>
      </c>
      <c r="AB18" s="33">
        <v>1</v>
      </c>
      <c r="AC18" s="95">
        <v>211644</v>
      </c>
      <c r="AD18" s="81">
        <v>1</v>
      </c>
      <c r="AE18" s="95">
        <v>225556</v>
      </c>
      <c r="AF18" s="81">
        <v>1</v>
      </c>
      <c r="AG18" s="93">
        <v>2829621</v>
      </c>
      <c r="AH18" s="82">
        <v>1</v>
      </c>
    </row>
    <row r="19" spans="2:34" x14ac:dyDescent="0.25">
      <c r="B19" s="34">
        <v>10</v>
      </c>
      <c r="C19" s="4" t="s">
        <v>33</v>
      </c>
      <c r="D19" s="4" t="s">
        <v>67</v>
      </c>
      <c r="E19" s="107">
        <v>19</v>
      </c>
      <c r="F19" s="4" t="s">
        <v>15</v>
      </c>
      <c r="H19" s="21">
        <v>1</v>
      </c>
      <c r="I19" s="95">
        <v>826757</v>
      </c>
      <c r="J19" s="33">
        <v>1</v>
      </c>
      <c r="K19" s="95">
        <v>956625</v>
      </c>
      <c r="L19" s="33">
        <v>1</v>
      </c>
      <c r="M19" s="95">
        <v>858261</v>
      </c>
      <c r="N19" s="33">
        <v>1</v>
      </c>
      <c r="O19" s="95">
        <v>937486</v>
      </c>
      <c r="P19" s="33">
        <v>1</v>
      </c>
      <c r="Q19" s="95">
        <v>878148</v>
      </c>
      <c r="R19" s="33">
        <v>0.9998999999999999</v>
      </c>
      <c r="S19" s="95">
        <v>787076</v>
      </c>
      <c r="T19" s="33">
        <v>0.9998999999999999</v>
      </c>
      <c r="U19" s="95">
        <v>840265</v>
      </c>
      <c r="V19" s="33">
        <v>1</v>
      </c>
      <c r="W19" s="95">
        <v>797832</v>
      </c>
      <c r="X19" s="33">
        <v>1</v>
      </c>
      <c r="Y19" s="95">
        <v>834069</v>
      </c>
      <c r="Z19" s="33">
        <v>0.9998999999999999</v>
      </c>
      <c r="AA19" s="95">
        <v>762508</v>
      </c>
      <c r="AB19" s="33">
        <v>0.9998999999999999</v>
      </c>
      <c r="AC19" s="95">
        <v>694371</v>
      </c>
      <c r="AD19" s="81">
        <v>0.9998999999999999</v>
      </c>
      <c r="AE19" s="95">
        <v>629455</v>
      </c>
      <c r="AF19" s="81">
        <v>1</v>
      </c>
      <c r="AG19" s="93">
        <v>9802853</v>
      </c>
      <c r="AH19" s="82">
        <v>0.99995964264689063</v>
      </c>
    </row>
    <row r="20" spans="2:34" s="9" customFormat="1" x14ac:dyDescent="0.25">
      <c r="B20" s="34">
        <v>11</v>
      </c>
      <c r="C20" s="4" t="s">
        <v>34</v>
      </c>
      <c r="D20" s="4" t="s">
        <v>68</v>
      </c>
      <c r="E20" s="107">
        <v>193</v>
      </c>
      <c r="F20" s="4" t="s">
        <v>15</v>
      </c>
      <c r="G20" s="4"/>
      <c r="H20" s="21">
        <v>0.99</v>
      </c>
      <c r="I20" s="95">
        <v>826757</v>
      </c>
      <c r="J20" s="33">
        <v>1</v>
      </c>
      <c r="K20" s="95">
        <v>956625</v>
      </c>
      <c r="L20" s="33">
        <v>1</v>
      </c>
      <c r="M20" s="95">
        <v>858261</v>
      </c>
      <c r="N20" s="33">
        <v>1</v>
      </c>
      <c r="O20" s="95">
        <v>937486</v>
      </c>
      <c r="P20" s="33">
        <v>1</v>
      </c>
      <c r="Q20" s="95">
        <v>878147</v>
      </c>
      <c r="R20" s="33">
        <v>1</v>
      </c>
      <c r="S20" s="95">
        <v>787074</v>
      </c>
      <c r="T20" s="33">
        <v>1</v>
      </c>
      <c r="U20" s="95">
        <v>840265</v>
      </c>
      <c r="V20" s="33">
        <v>1</v>
      </c>
      <c r="W20" s="95">
        <v>797832</v>
      </c>
      <c r="X20" s="33">
        <v>1</v>
      </c>
      <c r="Y20" s="95">
        <v>834069</v>
      </c>
      <c r="Z20" s="33">
        <v>1</v>
      </c>
      <c r="AA20" s="95">
        <v>762508</v>
      </c>
      <c r="AB20" s="33">
        <v>1</v>
      </c>
      <c r="AC20" s="95">
        <v>694371</v>
      </c>
      <c r="AD20" s="81">
        <v>1</v>
      </c>
      <c r="AE20" s="95">
        <v>629455</v>
      </c>
      <c r="AF20" s="81">
        <v>1</v>
      </c>
      <c r="AG20" s="93">
        <v>9802850</v>
      </c>
      <c r="AH20" s="82">
        <v>1</v>
      </c>
    </row>
    <row r="21" spans="2:34" s="9" customFormat="1" x14ac:dyDescent="0.25">
      <c r="B21" s="34">
        <v>12</v>
      </c>
      <c r="C21" s="4" t="s">
        <v>85</v>
      </c>
      <c r="D21" s="4" t="s">
        <v>69</v>
      </c>
      <c r="E21" s="107" t="s">
        <v>89</v>
      </c>
      <c r="F21" s="4" t="s">
        <v>13</v>
      </c>
      <c r="G21" s="4"/>
      <c r="H21" s="21">
        <v>0.99</v>
      </c>
      <c r="I21" s="95">
        <v>826757</v>
      </c>
      <c r="J21" s="33">
        <v>0.99</v>
      </c>
      <c r="K21" s="95">
        <v>956625</v>
      </c>
      <c r="L21" s="33">
        <v>0.98909999999999998</v>
      </c>
      <c r="M21" s="95">
        <v>858261</v>
      </c>
      <c r="N21" s="33">
        <v>0.9887999999999999</v>
      </c>
      <c r="O21" s="95">
        <v>937486</v>
      </c>
      <c r="P21" s="33">
        <v>0.98849999999999993</v>
      </c>
      <c r="Q21" s="95">
        <v>878148</v>
      </c>
      <c r="R21" s="33">
        <v>0.98799999999999999</v>
      </c>
      <c r="S21" s="95">
        <v>787076</v>
      </c>
      <c r="T21" s="33">
        <v>0.98799999999999999</v>
      </c>
      <c r="U21" s="95">
        <v>840265</v>
      </c>
      <c r="V21" s="33">
        <v>0.98750000000000004</v>
      </c>
      <c r="W21" s="95">
        <v>797832</v>
      </c>
      <c r="X21" s="33">
        <v>0.98719999999999997</v>
      </c>
      <c r="Y21" s="95">
        <v>834069</v>
      </c>
      <c r="Z21" s="33">
        <v>0.98670000000000002</v>
      </c>
      <c r="AA21" s="95">
        <v>762508</v>
      </c>
      <c r="AB21" s="33">
        <v>0.9849</v>
      </c>
      <c r="AC21" s="95">
        <v>694371</v>
      </c>
      <c r="AD21" s="81">
        <v>0.97409999999999997</v>
      </c>
      <c r="AE21" s="95">
        <v>629455</v>
      </c>
      <c r="AF21" s="81">
        <v>0.83979999999999999</v>
      </c>
      <c r="AG21" s="93">
        <v>9802853</v>
      </c>
      <c r="AH21" s="82">
        <v>0.97743345399548487</v>
      </c>
    </row>
    <row r="22" spans="2:34" s="9" customFormat="1" x14ac:dyDescent="0.25">
      <c r="B22" s="34">
        <v>13</v>
      </c>
      <c r="C22" s="4" t="s">
        <v>86</v>
      </c>
      <c r="D22" s="4" t="s">
        <v>70</v>
      </c>
      <c r="E22" s="107" t="s">
        <v>90</v>
      </c>
      <c r="F22" s="4" t="s">
        <v>13</v>
      </c>
      <c r="G22" s="4"/>
      <c r="H22" s="21">
        <v>0.98</v>
      </c>
      <c r="I22" s="95">
        <v>826757</v>
      </c>
      <c r="J22" s="33">
        <v>0.9998999999999999</v>
      </c>
      <c r="K22" s="95">
        <v>956625</v>
      </c>
      <c r="L22" s="33">
        <v>0.99980000000000002</v>
      </c>
      <c r="M22" s="95">
        <v>858261</v>
      </c>
      <c r="N22" s="33">
        <v>0.99980000000000002</v>
      </c>
      <c r="O22" s="95">
        <v>937486</v>
      </c>
      <c r="P22" s="33">
        <v>0.99970000000000003</v>
      </c>
      <c r="Q22" s="95">
        <v>878148</v>
      </c>
      <c r="R22" s="33">
        <v>0.99959999999999993</v>
      </c>
      <c r="S22" s="95">
        <v>787076</v>
      </c>
      <c r="T22" s="33">
        <v>0.99939999999999996</v>
      </c>
      <c r="U22" s="95">
        <v>840265</v>
      </c>
      <c r="V22" s="33">
        <v>0.99930000000000008</v>
      </c>
      <c r="W22" s="95">
        <v>797832</v>
      </c>
      <c r="X22" s="33">
        <v>0.9998999999999999</v>
      </c>
      <c r="Y22" s="95">
        <v>834069</v>
      </c>
      <c r="Z22" s="33">
        <v>0.9998999999999999</v>
      </c>
      <c r="AA22" s="95">
        <v>762508</v>
      </c>
      <c r="AB22" s="33">
        <v>0.9998999999999999</v>
      </c>
      <c r="AC22" s="95">
        <v>694371</v>
      </c>
      <c r="AD22" s="81">
        <v>0.99980000000000002</v>
      </c>
      <c r="AE22" s="95">
        <v>629455</v>
      </c>
      <c r="AF22" s="81">
        <v>0.9998999999999999</v>
      </c>
      <c r="AG22" s="93">
        <v>9802853</v>
      </c>
      <c r="AH22" s="82">
        <v>0.99973682665648478</v>
      </c>
    </row>
    <row r="23" spans="2:34" s="9" customFormat="1" x14ac:dyDescent="0.25">
      <c r="B23" s="34">
        <v>14</v>
      </c>
      <c r="C23" s="4" t="s">
        <v>35</v>
      </c>
      <c r="D23" s="4" t="s">
        <v>106</v>
      </c>
      <c r="E23" s="107">
        <v>26</v>
      </c>
      <c r="F23" s="4" t="s">
        <v>16</v>
      </c>
      <c r="G23" s="4"/>
      <c r="H23" s="21">
        <v>1</v>
      </c>
      <c r="I23" s="95">
        <v>513508</v>
      </c>
      <c r="J23" s="33">
        <v>1</v>
      </c>
      <c r="K23" s="95">
        <v>602986</v>
      </c>
      <c r="L23" s="33">
        <v>1</v>
      </c>
      <c r="M23" s="95">
        <v>536660</v>
      </c>
      <c r="N23" s="33">
        <v>0.9998999999999999</v>
      </c>
      <c r="O23" s="95">
        <v>590024</v>
      </c>
      <c r="P23" s="33">
        <v>0.9998999999999999</v>
      </c>
      <c r="Q23" s="95">
        <v>557677</v>
      </c>
      <c r="R23" s="33">
        <v>0.9998999999999999</v>
      </c>
      <c r="S23" s="95">
        <v>495502</v>
      </c>
      <c r="T23" s="33">
        <v>0.9998999999999999</v>
      </c>
      <c r="U23" s="95">
        <v>537089</v>
      </c>
      <c r="V23" s="33">
        <v>0.9998999999999999</v>
      </c>
      <c r="W23" s="95">
        <v>518586</v>
      </c>
      <c r="X23" s="33">
        <v>0.9998999999999999</v>
      </c>
      <c r="Y23" s="95">
        <v>548510</v>
      </c>
      <c r="Z23" s="33">
        <v>0.9998999999999999</v>
      </c>
      <c r="AA23" s="95">
        <v>504718</v>
      </c>
      <c r="AB23" s="33">
        <v>0.9998999999999999</v>
      </c>
      <c r="AC23" s="95">
        <v>457754</v>
      </c>
      <c r="AD23" s="81">
        <v>0.9998999999999999</v>
      </c>
      <c r="AE23" s="95">
        <v>428695</v>
      </c>
      <c r="AF23" s="81">
        <v>0.9998999999999999</v>
      </c>
      <c r="AG23" s="93">
        <v>6291709</v>
      </c>
      <c r="AH23" s="82">
        <v>0.99991774548059986</v>
      </c>
    </row>
    <row r="24" spans="2:34" x14ac:dyDescent="0.25">
      <c r="B24" s="34">
        <v>15</v>
      </c>
      <c r="C24" s="4" t="s">
        <v>38</v>
      </c>
      <c r="D24" s="4" t="s">
        <v>110</v>
      </c>
      <c r="E24" s="107">
        <v>82</v>
      </c>
      <c r="F24" s="4" t="s">
        <v>14</v>
      </c>
      <c r="H24" s="21">
        <v>1</v>
      </c>
      <c r="I24" s="95">
        <v>237603</v>
      </c>
      <c r="J24" s="33">
        <v>0.9998999999999999</v>
      </c>
      <c r="K24" s="95">
        <v>267721</v>
      </c>
      <c r="L24" s="33">
        <v>0.9998999999999999</v>
      </c>
      <c r="M24" s="95">
        <v>244803</v>
      </c>
      <c r="N24" s="33">
        <v>0.9998999999999999</v>
      </c>
      <c r="O24" s="95">
        <v>265778</v>
      </c>
      <c r="P24" s="33">
        <v>0.9998999999999999</v>
      </c>
      <c r="Q24" s="95">
        <v>245838</v>
      </c>
      <c r="R24" s="33">
        <v>0.99980000000000002</v>
      </c>
      <c r="S24" s="95">
        <v>225267</v>
      </c>
      <c r="T24" s="33">
        <v>0.99480000000000002</v>
      </c>
      <c r="U24" s="95">
        <v>235237</v>
      </c>
      <c r="V24" s="33">
        <v>5.5000000000000005E-3</v>
      </c>
      <c r="W24" s="95">
        <v>225295</v>
      </c>
      <c r="X24" s="33">
        <v>0.99950000000000006</v>
      </c>
      <c r="Y24" s="95">
        <v>227574</v>
      </c>
      <c r="Z24" s="33">
        <v>0.9998999999999999</v>
      </c>
      <c r="AA24" s="95">
        <v>217305</v>
      </c>
      <c r="AB24" s="33">
        <v>0.99980000000000002</v>
      </c>
      <c r="AC24" s="95">
        <v>211644</v>
      </c>
      <c r="AD24" s="81">
        <v>0.99480000000000002</v>
      </c>
      <c r="AE24" s="95">
        <v>225556</v>
      </c>
      <c r="AF24" s="81">
        <v>4.5999999999999999E-3</v>
      </c>
      <c r="AG24" s="93">
        <v>2829621</v>
      </c>
      <c r="AH24" s="82">
        <v>0.83705831978911649</v>
      </c>
    </row>
    <row r="25" spans="2:34" x14ac:dyDescent="0.25">
      <c r="B25" s="34">
        <v>16</v>
      </c>
      <c r="C25" s="4" t="s">
        <v>39</v>
      </c>
      <c r="D25" s="4" t="s">
        <v>108</v>
      </c>
      <c r="E25" s="107">
        <v>40</v>
      </c>
      <c r="F25" s="4" t="s">
        <v>14</v>
      </c>
      <c r="H25" s="21">
        <v>1</v>
      </c>
      <c r="I25" s="95">
        <v>237603</v>
      </c>
      <c r="J25" s="33">
        <v>1</v>
      </c>
      <c r="K25" s="95">
        <v>267721</v>
      </c>
      <c r="L25" s="33">
        <v>1</v>
      </c>
      <c r="M25" s="95">
        <v>244803</v>
      </c>
      <c r="N25" s="33">
        <v>1</v>
      </c>
      <c r="O25" s="95">
        <v>265778</v>
      </c>
      <c r="P25" s="33">
        <v>1</v>
      </c>
      <c r="Q25" s="95">
        <v>245838</v>
      </c>
      <c r="R25" s="33">
        <v>1</v>
      </c>
      <c r="S25" s="95">
        <v>225267</v>
      </c>
      <c r="T25" s="33">
        <v>1</v>
      </c>
      <c r="U25" s="95">
        <v>235237</v>
      </c>
      <c r="V25" s="33">
        <v>1</v>
      </c>
      <c r="W25" s="95">
        <v>225295</v>
      </c>
      <c r="X25" s="33">
        <v>1</v>
      </c>
      <c r="Y25" s="95">
        <v>227574</v>
      </c>
      <c r="Z25" s="33">
        <v>1</v>
      </c>
      <c r="AA25" s="95">
        <v>217305</v>
      </c>
      <c r="AB25" s="33">
        <v>1</v>
      </c>
      <c r="AC25" s="95">
        <v>211644</v>
      </c>
      <c r="AD25" s="81">
        <v>1</v>
      </c>
      <c r="AE25" s="95">
        <v>225556</v>
      </c>
      <c r="AF25" s="81">
        <v>1</v>
      </c>
      <c r="AG25" s="93">
        <v>2829621</v>
      </c>
      <c r="AH25" s="82">
        <v>1</v>
      </c>
    </row>
    <row r="26" spans="2:34" x14ac:dyDescent="0.25">
      <c r="B26" s="34">
        <v>17</v>
      </c>
      <c r="C26" s="4" t="s">
        <v>40</v>
      </c>
      <c r="D26" s="4" t="s">
        <v>103</v>
      </c>
      <c r="E26" s="107">
        <v>41</v>
      </c>
      <c r="F26" s="4" t="s">
        <v>14</v>
      </c>
      <c r="H26" s="21">
        <v>1</v>
      </c>
      <c r="I26" s="95">
        <v>237603</v>
      </c>
      <c r="J26" s="33">
        <v>1</v>
      </c>
      <c r="K26" s="95">
        <v>267721</v>
      </c>
      <c r="L26" s="33">
        <v>1</v>
      </c>
      <c r="M26" s="95">
        <v>244803</v>
      </c>
      <c r="N26" s="33">
        <v>1</v>
      </c>
      <c r="O26" s="95">
        <v>265778</v>
      </c>
      <c r="P26" s="33">
        <v>1</v>
      </c>
      <c r="Q26" s="95">
        <v>245838</v>
      </c>
      <c r="R26" s="33">
        <v>1</v>
      </c>
      <c r="S26" s="95">
        <v>225267</v>
      </c>
      <c r="T26" s="33">
        <v>1</v>
      </c>
      <c r="U26" s="95">
        <v>235237</v>
      </c>
      <c r="V26" s="33">
        <v>1</v>
      </c>
      <c r="W26" s="95">
        <v>225295</v>
      </c>
      <c r="X26" s="33">
        <v>1</v>
      </c>
      <c r="Y26" s="95">
        <v>227574</v>
      </c>
      <c r="Z26" s="33">
        <v>1</v>
      </c>
      <c r="AA26" s="95">
        <v>217305</v>
      </c>
      <c r="AB26" s="33">
        <v>1</v>
      </c>
      <c r="AC26" s="95">
        <v>211644</v>
      </c>
      <c r="AD26" s="81">
        <v>1</v>
      </c>
      <c r="AE26" s="95">
        <v>225556</v>
      </c>
      <c r="AF26" s="81">
        <v>1</v>
      </c>
      <c r="AG26" s="93">
        <v>2829621</v>
      </c>
      <c r="AH26" s="82">
        <v>1</v>
      </c>
    </row>
    <row r="27" spans="2:34" x14ac:dyDescent="0.25">
      <c r="B27" s="34">
        <v>18</v>
      </c>
      <c r="C27" s="4" t="s">
        <v>41</v>
      </c>
      <c r="D27" s="4" t="s">
        <v>109</v>
      </c>
      <c r="E27" s="107">
        <v>198</v>
      </c>
      <c r="F27" s="4" t="s">
        <v>14</v>
      </c>
      <c r="H27" s="21">
        <v>1</v>
      </c>
      <c r="I27" s="95">
        <v>237603</v>
      </c>
      <c r="J27" s="33">
        <v>1</v>
      </c>
      <c r="K27" s="95">
        <v>267721</v>
      </c>
      <c r="L27" s="33">
        <v>1</v>
      </c>
      <c r="M27" s="95">
        <v>244803</v>
      </c>
      <c r="N27" s="33">
        <v>1</v>
      </c>
      <c r="O27" s="95">
        <v>265778</v>
      </c>
      <c r="P27" s="33">
        <v>1</v>
      </c>
      <c r="Q27" s="95">
        <v>245838</v>
      </c>
      <c r="R27" s="33">
        <v>1</v>
      </c>
      <c r="S27" s="95">
        <v>225267</v>
      </c>
      <c r="T27" s="33">
        <v>1</v>
      </c>
      <c r="U27" s="95">
        <v>235237</v>
      </c>
      <c r="V27" s="33">
        <v>1</v>
      </c>
      <c r="W27" s="95">
        <v>225295</v>
      </c>
      <c r="X27" s="33">
        <v>1</v>
      </c>
      <c r="Y27" s="95">
        <v>227574</v>
      </c>
      <c r="Z27" s="33">
        <v>1</v>
      </c>
      <c r="AA27" s="95">
        <v>217305</v>
      </c>
      <c r="AB27" s="33">
        <v>1</v>
      </c>
      <c r="AC27" s="95">
        <v>211644</v>
      </c>
      <c r="AD27" s="81">
        <v>1</v>
      </c>
      <c r="AE27" s="95">
        <v>225556</v>
      </c>
      <c r="AF27" s="81">
        <v>1</v>
      </c>
      <c r="AG27" s="93">
        <v>2829621</v>
      </c>
      <c r="AH27" s="82">
        <v>1</v>
      </c>
    </row>
    <row r="28" spans="2:34" x14ac:dyDescent="0.25">
      <c r="B28" s="34">
        <v>19</v>
      </c>
      <c r="C28" s="4" t="s">
        <v>42</v>
      </c>
      <c r="D28" s="4" t="s">
        <v>104</v>
      </c>
      <c r="E28" s="107">
        <v>67</v>
      </c>
      <c r="F28" s="4" t="s">
        <v>14</v>
      </c>
      <c r="H28" s="21">
        <v>1</v>
      </c>
      <c r="I28" s="95">
        <v>237603</v>
      </c>
      <c r="J28" s="33">
        <v>1</v>
      </c>
      <c r="K28" s="95">
        <v>267721</v>
      </c>
      <c r="L28" s="33">
        <v>1</v>
      </c>
      <c r="M28" s="95">
        <v>244803</v>
      </c>
      <c r="N28" s="33">
        <v>1</v>
      </c>
      <c r="O28" s="95">
        <v>265778</v>
      </c>
      <c r="P28" s="33">
        <v>1</v>
      </c>
      <c r="Q28" s="95">
        <v>245838</v>
      </c>
      <c r="R28" s="33">
        <v>1</v>
      </c>
      <c r="S28" s="95">
        <v>225267</v>
      </c>
      <c r="T28" s="33">
        <v>1</v>
      </c>
      <c r="U28" s="95">
        <v>235237</v>
      </c>
      <c r="V28" s="33">
        <v>1</v>
      </c>
      <c r="W28" s="95">
        <v>225295</v>
      </c>
      <c r="X28" s="33">
        <v>1</v>
      </c>
      <c r="Y28" s="95">
        <v>227574</v>
      </c>
      <c r="Z28" s="33">
        <v>1</v>
      </c>
      <c r="AA28" s="95">
        <v>217305</v>
      </c>
      <c r="AB28" s="33">
        <v>1</v>
      </c>
      <c r="AC28" s="95">
        <v>211644</v>
      </c>
      <c r="AD28" s="81">
        <v>1</v>
      </c>
      <c r="AE28" s="95">
        <v>225556</v>
      </c>
      <c r="AF28" s="81">
        <v>1</v>
      </c>
      <c r="AG28" s="93">
        <v>2829621</v>
      </c>
      <c r="AH28" s="82">
        <v>1</v>
      </c>
    </row>
    <row r="29" spans="2:34" x14ac:dyDescent="0.25">
      <c r="B29" s="34">
        <v>20</v>
      </c>
      <c r="C29" s="4" t="s">
        <v>43</v>
      </c>
      <c r="D29" s="4" t="s">
        <v>105</v>
      </c>
      <c r="E29" s="107">
        <v>37</v>
      </c>
      <c r="F29" s="4" t="s">
        <v>91</v>
      </c>
      <c r="H29" s="21">
        <v>1</v>
      </c>
      <c r="I29" s="95">
        <v>237292</v>
      </c>
      <c r="J29" s="33">
        <v>1</v>
      </c>
      <c r="K29" s="95">
        <v>267343</v>
      </c>
      <c r="L29" s="33">
        <v>1</v>
      </c>
      <c r="M29" s="95">
        <v>244470</v>
      </c>
      <c r="N29" s="33">
        <v>1</v>
      </c>
      <c r="O29" s="95">
        <v>265401</v>
      </c>
      <c r="P29" s="33">
        <v>1</v>
      </c>
      <c r="Q29" s="95">
        <v>245516</v>
      </c>
      <c r="R29" s="33">
        <v>1</v>
      </c>
      <c r="S29" s="95">
        <v>224966</v>
      </c>
      <c r="T29" s="33">
        <v>1</v>
      </c>
      <c r="U29" s="95">
        <v>234940</v>
      </c>
      <c r="V29" s="33">
        <v>1</v>
      </c>
      <c r="W29" s="95">
        <v>224969</v>
      </c>
      <c r="X29" s="33">
        <v>1</v>
      </c>
      <c r="Y29" s="95">
        <v>227242</v>
      </c>
      <c r="Z29" s="33">
        <v>1</v>
      </c>
      <c r="AA29" s="95">
        <v>217027</v>
      </c>
      <c r="AB29" s="33">
        <v>1</v>
      </c>
      <c r="AC29" s="95">
        <v>211328</v>
      </c>
      <c r="AD29" s="81">
        <v>1</v>
      </c>
      <c r="AE29" s="95">
        <v>225257</v>
      </c>
      <c r="AF29" s="81">
        <v>1</v>
      </c>
      <c r="AG29" s="93">
        <v>2825751</v>
      </c>
      <c r="AH29" s="82">
        <v>1</v>
      </c>
    </row>
    <row r="30" spans="2:34" x14ac:dyDescent="0.25">
      <c r="B30" s="34">
        <v>21</v>
      </c>
      <c r="C30" s="4" t="s">
        <v>44</v>
      </c>
      <c r="D30" s="4" t="s">
        <v>71</v>
      </c>
      <c r="E30" s="107">
        <v>2</v>
      </c>
      <c r="F30" s="4" t="s">
        <v>13</v>
      </c>
      <c r="H30" s="21">
        <v>1</v>
      </c>
      <c r="I30" s="95">
        <v>1109989</v>
      </c>
      <c r="J30" s="33">
        <v>1</v>
      </c>
      <c r="K30" s="95">
        <v>1276056</v>
      </c>
      <c r="L30" s="33">
        <v>1</v>
      </c>
      <c r="M30" s="95">
        <v>1171853</v>
      </c>
      <c r="N30" s="33">
        <v>1</v>
      </c>
      <c r="O30" s="95">
        <v>1280996</v>
      </c>
      <c r="P30" s="33">
        <v>1</v>
      </c>
      <c r="Q30" s="95">
        <v>1194535</v>
      </c>
      <c r="R30" s="33">
        <v>1</v>
      </c>
      <c r="S30" s="95">
        <v>1078395</v>
      </c>
      <c r="T30" s="33">
        <v>1</v>
      </c>
      <c r="U30" s="95">
        <v>1144810</v>
      </c>
      <c r="V30" s="33">
        <v>1</v>
      </c>
      <c r="W30" s="95">
        <v>1088991</v>
      </c>
      <c r="X30" s="33">
        <v>1</v>
      </c>
      <c r="Y30" s="95">
        <v>1131664</v>
      </c>
      <c r="Z30" s="33">
        <v>1</v>
      </c>
      <c r="AA30" s="95">
        <v>1045704</v>
      </c>
      <c r="AB30" s="33">
        <v>1</v>
      </c>
      <c r="AC30" s="95">
        <v>968842</v>
      </c>
      <c r="AD30" s="81">
        <v>1</v>
      </c>
      <c r="AE30" s="95">
        <v>916808</v>
      </c>
      <c r="AF30" s="81">
        <v>1</v>
      </c>
      <c r="AG30" s="93">
        <v>13408643</v>
      </c>
      <c r="AH30" s="82">
        <v>1</v>
      </c>
    </row>
    <row r="31" spans="2:34" x14ac:dyDescent="0.25">
      <c r="B31" s="34">
        <v>22</v>
      </c>
      <c r="C31" s="4" t="s">
        <v>45</v>
      </c>
      <c r="D31" s="4" t="s">
        <v>72</v>
      </c>
      <c r="E31" s="107">
        <v>4</v>
      </c>
      <c r="F31" s="4" t="s">
        <v>13</v>
      </c>
      <c r="H31" s="21">
        <v>1</v>
      </c>
      <c r="I31" s="95">
        <v>1109989</v>
      </c>
      <c r="J31" s="33">
        <v>1</v>
      </c>
      <c r="K31" s="95">
        <v>1276056</v>
      </c>
      <c r="L31" s="33">
        <v>1</v>
      </c>
      <c r="M31" s="95">
        <v>1171853</v>
      </c>
      <c r="N31" s="33">
        <v>1</v>
      </c>
      <c r="O31" s="95">
        <v>1280996</v>
      </c>
      <c r="P31" s="33">
        <v>1</v>
      </c>
      <c r="Q31" s="95">
        <v>1194535</v>
      </c>
      <c r="R31" s="33">
        <v>1</v>
      </c>
      <c r="S31" s="95">
        <v>1078395</v>
      </c>
      <c r="T31" s="33">
        <v>1</v>
      </c>
      <c r="U31" s="95">
        <v>1144810</v>
      </c>
      <c r="V31" s="33">
        <v>1</v>
      </c>
      <c r="W31" s="95">
        <v>1088991</v>
      </c>
      <c r="X31" s="33">
        <v>1</v>
      </c>
      <c r="Y31" s="95">
        <v>1131664</v>
      </c>
      <c r="Z31" s="33">
        <v>1</v>
      </c>
      <c r="AA31" s="95">
        <v>1045704</v>
      </c>
      <c r="AB31" s="33">
        <v>1</v>
      </c>
      <c r="AC31" s="95">
        <v>968842</v>
      </c>
      <c r="AD31" s="81">
        <v>1</v>
      </c>
      <c r="AE31" s="95">
        <v>916808</v>
      </c>
      <c r="AF31" s="81">
        <v>1</v>
      </c>
      <c r="AG31" s="93">
        <v>13408643</v>
      </c>
      <c r="AH31" s="82">
        <v>1</v>
      </c>
    </row>
    <row r="32" spans="2:34" x14ac:dyDescent="0.25">
      <c r="B32" s="34">
        <v>23</v>
      </c>
      <c r="C32" s="4" t="s">
        <v>46</v>
      </c>
      <c r="D32" s="4" t="s">
        <v>74</v>
      </c>
      <c r="E32" s="107">
        <v>60</v>
      </c>
      <c r="F32" s="4" t="s">
        <v>13</v>
      </c>
      <c r="H32" s="21">
        <v>1</v>
      </c>
      <c r="I32" s="95">
        <v>1109989</v>
      </c>
      <c r="J32" s="33">
        <v>1</v>
      </c>
      <c r="K32" s="95">
        <v>1276056</v>
      </c>
      <c r="L32" s="33">
        <v>1</v>
      </c>
      <c r="M32" s="95">
        <v>1171853</v>
      </c>
      <c r="N32" s="33">
        <v>1</v>
      </c>
      <c r="O32" s="95">
        <v>1280996</v>
      </c>
      <c r="P32" s="33">
        <v>1</v>
      </c>
      <c r="Q32" s="95">
        <v>1194535</v>
      </c>
      <c r="R32" s="33">
        <v>1</v>
      </c>
      <c r="S32" s="95">
        <v>1078395</v>
      </c>
      <c r="T32" s="33">
        <v>1</v>
      </c>
      <c r="U32" s="95">
        <v>1144810</v>
      </c>
      <c r="V32" s="33">
        <v>1</v>
      </c>
      <c r="W32" s="95">
        <v>1088991</v>
      </c>
      <c r="X32" s="33">
        <v>1</v>
      </c>
      <c r="Y32" s="95">
        <v>1131664</v>
      </c>
      <c r="Z32" s="33">
        <v>1</v>
      </c>
      <c r="AA32" s="95">
        <v>1045704</v>
      </c>
      <c r="AB32" s="33">
        <v>1</v>
      </c>
      <c r="AC32" s="95">
        <v>968842</v>
      </c>
      <c r="AD32" s="81">
        <v>1</v>
      </c>
      <c r="AE32" s="95">
        <v>916808</v>
      </c>
      <c r="AF32" s="81">
        <v>1</v>
      </c>
      <c r="AG32" s="93">
        <v>13408643</v>
      </c>
      <c r="AH32" s="82">
        <v>1</v>
      </c>
    </row>
    <row r="33" spans="2:34" x14ac:dyDescent="0.25">
      <c r="B33" s="34">
        <v>24</v>
      </c>
      <c r="C33" s="4" t="s">
        <v>47</v>
      </c>
      <c r="D33" s="4" t="s">
        <v>73</v>
      </c>
      <c r="E33" s="107">
        <v>68</v>
      </c>
      <c r="F33" s="4" t="s">
        <v>13</v>
      </c>
      <c r="H33" s="21">
        <v>1</v>
      </c>
      <c r="I33" s="95">
        <v>1109989</v>
      </c>
      <c r="J33" s="33">
        <v>1</v>
      </c>
      <c r="K33" s="95">
        <v>1276056</v>
      </c>
      <c r="L33" s="33">
        <v>1</v>
      </c>
      <c r="M33" s="95">
        <v>1171853</v>
      </c>
      <c r="N33" s="33">
        <v>1</v>
      </c>
      <c r="O33" s="95">
        <v>1280996</v>
      </c>
      <c r="P33" s="33">
        <v>1</v>
      </c>
      <c r="Q33" s="95">
        <v>1194535</v>
      </c>
      <c r="R33" s="33">
        <v>1</v>
      </c>
      <c r="S33" s="95">
        <v>1078395</v>
      </c>
      <c r="T33" s="33">
        <v>1</v>
      </c>
      <c r="U33" s="95">
        <v>1144810</v>
      </c>
      <c r="V33" s="33">
        <v>1</v>
      </c>
      <c r="W33" s="95">
        <v>1088991</v>
      </c>
      <c r="X33" s="33">
        <v>1</v>
      </c>
      <c r="Y33" s="95">
        <v>1131664</v>
      </c>
      <c r="Z33" s="33">
        <v>1</v>
      </c>
      <c r="AA33" s="95">
        <v>1045704</v>
      </c>
      <c r="AB33" s="33">
        <v>1</v>
      </c>
      <c r="AC33" s="95">
        <v>968842</v>
      </c>
      <c r="AD33" s="81">
        <v>1</v>
      </c>
      <c r="AE33" s="95">
        <v>916808</v>
      </c>
      <c r="AF33" s="81">
        <v>1</v>
      </c>
      <c r="AG33" s="93">
        <v>13408643</v>
      </c>
      <c r="AH33" s="82">
        <v>1</v>
      </c>
    </row>
    <row r="34" spans="2:34" x14ac:dyDescent="0.25">
      <c r="B34" s="34">
        <v>25</v>
      </c>
      <c r="C34" s="4" t="s">
        <v>48</v>
      </c>
      <c r="D34" s="4" t="s">
        <v>75</v>
      </c>
      <c r="E34" s="107">
        <v>86</v>
      </c>
      <c r="F34" s="4" t="s">
        <v>13</v>
      </c>
      <c r="H34" s="21">
        <v>1</v>
      </c>
      <c r="I34" s="95">
        <v>1109989</v>
      </c>
      <c r="J34" s="33">
        <v>1</v>
      </c>
      <c r="K34" s="95">
        <v>1276056</v>
      </c>
      <c r="L34" s="33">
        <v>1</v>
      </c>
      <c r="M34" s="95">
        <v>1171853</v>
      </c>
      <c r="N34" s="33">
        <v>1</v>
      </c>
      <c r="O34" s="95">
        <v>1280996</v>
      </c>
      <c r="P34" s="33">
        <v>1</v>
      </c>
      <c r="Q34" s="95">
        <v>1194535</v>
      </c>
      <c r="R34" s="33">
        <v>1</v>
      </c>
      <c r="S34" s="95">
        <v>1078395</v>
      </c>
      <c r="T34" s="33">
        <v>1</v>
      </c>
      <c r="U34" s="95">
        <v>1144810</v>
      </c>
      <c r="V34" s="33">
        <v>1</v>
      </c>
      <c r="W34" s="95">
        <v>1088991</v>
      </c>
      <c r="X34" s="33">
        <v>1</v>
      </c>
      <c r="Y34" s="95">
        <v>1131664</v>
      </c>
      <c r="Z34" s="33">
        <v>1</v>
      </c>
      <c r="AA34" s="95">
        <v>1045704</v>
      </c>
      <c r="AB34" s="33">
        <v>1</v>
      </c>
      <c r="AC34" s="95">
        <v>968842</v>
      </c>
      <c r="AD34" s="81">
        <v>1</v>
      </c>
      <c r="AE34" s="95">
        <v>916808</v>
      </c>
      <c r="AF34" s="81">
        <v>1</v>
      </c>
      <c r="AG34" s="93">
        <v>13408643</v>
      </c>
      <c r="AH34" s="82">
        <v>1</v>
      </c>
    </row>
    <row r="35" spans="2:34" x14ac:dyDescent="0.25">
      <c r="B35" s="34">
        <v>26</v>
      </c>
      <c r="C35" s="4" t="s">
        <v>49</v>
      </c>
      <c r="D35" s="4" t="s">
        <v>76</v>
      </c>
      <c r="E35" s="107">
        <v>15</v>
      </c>
      <c r="F35" s="4" t="s">
        <v>17</v>
      </c>
      <c r="H35" s="21">
        <v>1</v>
      </c>
      <c r="I35" s="95">
        <v>27788</v>
      </c>
      <c r="J35" s="33">
        <v>1</v>
      </c>
      <c r="K35" s="95">
        <v>30361</v>
      </c>
      <c r="L35" s="33">
        <v>1</v>
      </c>
      <c r="M35" s="95">
        <v>28877</v>
      </c>
      <c r="N35" s="33">
        <v>1</v>
      </c>
      <c r="O35" s="95">
        <v>29517</v>
      </c>
      <c r="P35" s="33">
        <v>1</v>
      </c>
      <c r="Q35" s="95">
        <v>27397</v>
      </c>
      <c r="R35" s="33">
        <v>1</v>
      </c>
      <c r="S35" s="95">
        <v>28150</v>
      </c>
      <c r="T35" s="33">
        <v>1</v>
      </c>
      <c r="U35" s="95">
        <v>26304</v>
      </c>
      <c r="V35" s="33">
        <v>1</v>
      </c>
      <c r="W35" s="95">
        <v>24923</v>
      </c>
      <c r="X35" s="33">
        <v>1</v>
      </c>
      <c r="Y35" s="95">
        <v>24549</v>
      </c>
      <c r="Z35" s="33">
        <v>1</v>
      </c>
      <c r="AA35" s="95">
        <v>22583</v>
      </c>
      <c r="AB35" s="33">
        <v>1</v>
      </c>
      <c r="AC35" s="95">
        <v>20869</v>
      </c>
      <c r="AD35" s="81">
        <v>1</v>
      </c>
      <c r="AE35" s="95">
        <v>14933</v>
      </c>
      <c r="AF35" s="81">
        <v>1</v>
      </c>
      <c r="AG35" s="93">
        <v>306251</v>
      </c>
      <c r="AH35" s="82">
        <v>1</v>
      </c>
    </row>
    <row r="36" spans="2:34" x14ac:dyDescent="0.25">
      <c r="B36" s="34">
        <v>27</v>
      </c>
      <c r="C36" s="4" t="s">
        <v>50</v>
      </c>
      <c r="D36" s="4" t="s">
        <v>77</v>
      </c>
      <c r="E36" s="107">
        <v>16</v>
      </c>
      <c r="F36" s="4" t="s">
        <v>18</v>
      </c>
      <c r="H36" s="21">
        <v>1</v>
      </c>
      <c r="I36" s="95">
        <v>26387</v>
      </c>
      <c r="J36" s="33">
        <v>1</v>
      </c>
      <c r="K36" s="95">
        <v>28806</v>
      </c>
      <c r="L36" s="33">
        <v>1</v>
      </c>
      <c r="M36" s="95">
        <v>27423</v>
      </c>
      <c r="N36" s="33">
        <v>1</v>
      </c>
      <c r="O36" s="95">
        <v>27563</v>
      </c>
      <c r="P36" s="33">
        <v>1</v>
      </c>
      <c r="Q36" s="95">
        <v>25887</v>
      </c>
      <c r="R36" s="33">
        <v>1</v>
      </c>
      <c r="S36" s="95">
        <v>26630</v>
      </c>
      <c r="T36" s="33">
        <v>1</v>
      </c>
      <c r="U36" s="95">
        <v>25035</v>
      </c>
      <c r="V36" s="33">
        <v>1</v>
      </c>
      <c r="W36" s="95">
        <v>23818</v>
      </c>
      <c r="X36" s="33">
        <v>1</v>
      </c>
      <c r="Y36" s="95">
        <v>23440</v>
      </c>
      <c r="Z36" s="33">
        <v>1</v>
      </c>
      <c r="AA36" s="95">
        <v>21645</v>
      </c>
      <c r="AB36" s="33">
        <v>1</v>
      </c>
      <c r="AC36" s="95">
        <v>20081</v>
      </c>
      <c r="AD36" s="81">
        <v>1</v>
      </c>
      <c r="AE36" s="95">
        <v>14674</v>
      </c>
      <c r="AF36" s="81">
        <v>1</v>
      </c>
      <c r="AG36" s="93">
        <v>291389</v>
      </c>
      <c r="AH36" s="82">
        <v>1</v>
      </c>
    </row>
    <row r="37" spans="2:34" x14ac:dyDescent="0.25">
      <c r="B37" s="34">
        <v>28</v>
      </c>
      <c r="C37" s="20" t="s">
        <v>51</v>
      </c>
      <c r="D37" s="4" t="s">
        <v>78</v>
      </c>
      <c r="E37" s="107">
        <v>85</v>
      </c>
      <c r="F37" s="4" t="s">
        <v>18</v>
      </c>
      <c r="H37" s="21">
        <v>1</v>
      </c>
      <c r="I37" s="95">
        <v>26856</v>
      </c>
      <c r="J37" s="33">
        <v>1</v>
      </c>
      <c r="K37" s="95">
        <v>29360</v>
      </c>
      <c r="L37" s="33">
        <v>1</v>
      </c>
      <c r="M37" s="95">
        <v>28008</v>
      </c>
      <c r="N37" s="33">
        <v>0.9998999999999999</v>
      </c>
      <c r="O37" s="95">
        <v>28528</v>
      </c>
      <c r="P37" s="33">
        <v>1</v>
      </c>
      <c r="Q37" s="95">
        <v>26655</v>
      </c>
      <c r="R37" s="33">
        <v>0.9998999999999999</v>
      </c>
      <c r="S37" s="95">
        <v>27255</v>
      </c>
      <c r="T37" s="33">
        <v>1</v>
      </c>
      <c r="U37" s="95">
        <v>25428</v>
      </c>
      <c r="V37" s="33">
        <v>1</v>
      </c>
      <c r="W37" s="95">
        <v>24258</v>
      </c>
      <c r="X37" s="33">
        <v>1</v>
      </c>
      <c r="Y37" s="95">
        <v>23889</v>
      </c>
      <c r="Z37" s="33">
        <v>0.9998999999999999</v>
      </c>
      <c r="AA37" s="95">
        <v>21947</v>
      </c>
      <c r="AB37" s="33">
        <v>1</v>
      </c>
      <c r="AC37" s="95">
        <v>20508</v>
      </c>
      <c r="AD37" s="81">
        <v>1</v>
      </c>
      <c r="AE37" s="95">
        <v>14933</v>
      </c>
      <c r="AF37" s="81">
        <v>1</v>
      </c>
      <c r="AG37" s="93">
        <v>297625</v>
      </c>
      <c r="AH37" s="82">
        <v>0.99997360705585892</v>
      </c>
    </row>
    <row r="38" spans="2:34" x14ac:dyDescent="0.25">
      <c r="B38" s="34">
        <v>29</v>
      </c>
      <c r="C38" s="20" t="s">
        <v>52</v>
      </c>
      <c r="D38" s="4" t="s">
        <v>79</v>
      </c>
      <c r="E38" s="107">
        <v>34</v>
      </c>
      <c r="F38" s="4" t="s">
        <v>19</v>
      </c>
      <c r="H38" s="21">
        <v>0.98</v>
      </c>
      <c r="I38" s="95">
        <v>330170</v>
      </c>
      <c r="J38" s="33">
        <v>0.9998999999999999</v>
      </c>
      <c r="K38" s="95">
        <v>372438</v>
      </c>
      <c r="L38" s="33">
        <v>0.99980000000000002</v>
      </c>
      <c r="M38" s="95">
        <v>358488</v>
      </c>
      <c r="N38" s="33">
        <v>0.9998999999999999</v>
      </c>
      <c r="O38" s="95">
        <v>387899</v>
      </c>
      <c r="P38" s="33">
        <v>0.99980000000000002</v>
      </c>
      <c r="Q38" s="95">
        <v>360445</v>
      </c>
      <c r="R38" s="33">
        <v>0.9998999999999999</v>
      </c>
      <c r="S38" s="95">
        <v>329311</v>
      </c>
      <c r="T38" s="33">
        <v>0.9998999999999999</v>
      </c>
      <c r="U38" s="95">
        <v>343344</v>
      </c>
      <c r="V38" s="33">
        <v>0.9998999999999999</v>
      </c>
      <c r="W38" s="95">
        <v>317481</v>
      </c>
      <c r="X38" s="33">
        <v>0.99980000000000002</v>
      </c>
      <c r="Y38" s="95">
        <v>327015</v>
      </c>
      <c r="Z38" s="33">
        <v>0.9998999999999999</v>
      </c>
      <c r="AA38" s="95">
        <v>296726</v>
      </c>
      <c r="AB38" s="33">
        <v>0.9998999999999999</v>
      </c>
      <c r="AC38" s="95">
        <v>273579</v>
      </c>
      <c r="AD38" s="81">
        <v>1</v>
      </c>
      <c r="AE38" s="95">
        <v>234351</v>
      </c>
      <c r="AF38" s="81">
        <v>1</v>
      </c>
      <c r="AG38" s="93">
        <v>3931247</v>
      </c>
      <c r="AH38" s="82">
        <v>0.9998855036328167</v>
      </c>
    </row>
    <row r="39" spans="2:34" s="9" customFormat="1" x14ac:dyDescent="0.25">
      <c r="B39" s="34">
        <v>30</v>
      </c>
      <c r="C39" s="20" t="s">
        <v>53</v>
      </c>
      <c r="D39" s="4" t="s">
        <v>80</v>
      </c>
      <c r="E39" s="107">
        <v>24</v>
      </c>
      <c r="F39" s="4" t="s">
        <v>17</v>
      </c>
      <c r="G39" s="4"/>
      <c r="H39" s="21">
        <v>1</v>
      </c>
      <c r="I39" s="95">
        <v>27788</v>
      </c>
      <c r="J39" s="33">
        <v>1</v>
      </c>
      <c r="K39" s="95">
        <v>30361</v>
      </c>
      <c r="L39" s="33">
        <v>1</v>
      </c>
      <c r="M39" s="95">
        <v>28877</v>
      </c>
      <c r="N39" s="33">
        <v>1</v>
      </c>
      <c r="O39" s="95">
        <v>29517</v>
      </c>
      <c r="P39" s="33">
        <v>1</v>
      </c>
      <c r="Q39" s="95">
        <v>27397</v>
      </c>
      <c r="R39" s="33">
        <v>1</v>
      </c>
      <c r="S39" s="95">
        <v>28150</v>
      </c>
      <c r="T39" s="33">
        <v>1</v>
      </c>
      <c r="U39" s="95">
        <v>26304</v>
      </c>
      <c r="V39" s="33">
        <v>1</v>
      </c>
      <c r="W39" s="95">
        <v>24923</v>
      </c>
      <c r="X39" s="33">
        <v>1</v>
      </c>
      <c r="Y39" s="95">
        <v>24549</v>
      </c>
      <c r="Z39" s="33">
        <v>1</v>
      </c>
      <c r="AA39" s="95">
        <v>22583</v>
      </c>
      <c r="AB39" s="33">
        <v>1</v>
      </c>
      <c r="AC39" s="95">
        <v>20869</v>
      </c>
      <c r="AD39" s="81">
        <v>1</v>
      </c>
      <c r="AE39" s="95">
        <v>14933</v>
      </c>
      <c r="AF39" s="81">
        <v>1</v>
      </c>
      <c r="AG39" s="93">
        <v>306251</v>
      </c>
      <c r="AH39" s="82">
        <v>1</v>
      </c>
    </row>
    <row r="40" spans="2:34" x14ac:dyDescent="0.25">
      <c r="B40" s="34">
        <v>31</v>
      </c>
      <c r="C40" s="20" t="s">
        <v>54</v>
      </c>
      <c r="D40" s="4" t="s">
        <v>81</v>
      </c>
      <c r="E40" s="107">
        <v>25</v>
      </c>
      <c r="F40" s="4" t="s">
        <v>17</v>
      </c>
      <c r="H40" s="21">
        <v>1</v>
      </c>
      <c r="I40" s="95">
        <v>27788</v>
      </c>
      <c r="J40" s="33">
        <v>1</v>
      </c>
      <c r="K40" s="95">
        <v>30361</v>
      </c>
      <c r="L40" s="33">
        <v>1</v>
      </c>
      <c r="M40" s="95">
        <v>28877</v>
      </c>
      <c r="N40" s="33">
        <v>1</v>
      </c>
      <c r="O40" s="95">
        <v>29517</v>
      </c>
      <c r="P40" s="33">
        <v>1</v>
      </c>
      <c r="Q40" s="95">
        <v>27397</v>
      </c>
      <c r="R40" s="33">
        <v>1</v>
      </c>
      <c r="S40" s="95">
        <v>28150</v>
      </c>
      <c r="T40" s="33">
        <v>1</v>
      </c>
      <c r="U40" s="95">
        <v>26304</v>
      </c>
      <c r="V40" s="33">
        <v>1</v>
      </c>
      <c r="W40" s="95">
        <v>24923</v>
      </c>
      <c r="X40" s="33">
        <v>1</v>
      </c>
      <c r="Y40" s="95">
        <v>24549</v>
      </c>
      <c r="Z40" s="33">
        <v>1</v>
      </c>
      <c r="AA40" s="95">
        <v>22583</v>
      </c>
      <c r="AB40" s="33">
        <v>1</v>
      </c>
      <c r="AC40" s="95">
        <v>20869</v>
      </c>
      <c r="AD40" s="81">
        <v>1</v>
      </c>
      <c r="AE40" s="95">
        <v>14933</v>
      </c>
      <c r="AF40" s="81">
        <v>1</v>
      </c>
      <c r="AG40" s="93">
        <v>306251</v>
      </c>
      <c r="AH40" s="82">
        <v>1</v>
      </c>
    </row>
    <row r="41" spans="2:34" x14ac:dyDescent="0.25">
      <c r="B41" s="34">
        <v>32</v>
      </c>
      <c r="C41" s="20" t="s">
        <v>55</v>
      </c>
      <c r="D41" s="4" t="s">
        <v>82</v>
      </c>
      <c r="E41" s="107">
        <v>31</v>
      </c>
      <c r="F41" s="4" t="s">
        <v>20</v>
      </c>
      <c r="H41" s="21">
        <v>1</v>
      </c>
      <c r="I41" s="95">
        <v>313249</v>
      </c>
      <c r="J41" s="33">
        <v>0.9998999999999999</v>
      </c>
      <c r="K41" s="95">
        <v>353639</v>
      </c>
      <c r="L41" s="33">
        <v>0.9998999999999999</v>
      </c>
      <c r="M41" s="95">
        <v>321601</v>
      </c>
      <c r="N41" s="33">
        <v>0.9998999999999999</v>
      </c>
      <c r="O41" s="95">
        <v>347462</v>
      </c>
      <c r="P41" s="33">
        <v>1</v>
      </c>
      <c r="Q41" s="95">
        <v>320471</v>
      </c>
      <c r="R41" s="33">
        <v>1</v>
      </c>
      <c r="S41" s="95">
        <v>291574</v>
      </c>
      <c r="T41" s="33">
        <v>1</v>
      </c>
      <c r="U41" s="95">
        <v>303176</v>
      </c>
      <c r="V41" s="33">
        <v>0.9998999999999999</v>
      </c>
      <c r="W41" s="95">
        <v>279246</v>
      </c>
      <c r="X41" s="33">
        <v>0.9998999999999999</v>
      </c>
      <c r="Y41" s="95">
        <v>285559</v>
      </c>
      <c r="Z41" s="33">
        <v>1</v>
      </c>
      <c r="AA41" s="95">
        <v>257790</v>
      </c>
      <c r="AB41" s="33">
        <v>1</v>
      </c>
      <c r="AC41" s="95">
        <v>236617</v>
      </c>
      <c r="AD41" s="81">
        <v>1</v>
      </c>
      <c r="AE41" s="95">
        <v>200760</v>
      </c>
      <c r="AF41" s="81">
        <v>1</v>
      </c>
      <c r="AG41" s="93">
        <v>3511144</v>
      </c>
      <c r="AH41" s="82">
        <v>0.99995525928301421</v>
      </c>
    </row>
    <row r="42" spans="2:34" x14ac:dyDescent="0.25">
      <c r="B42" s="34">
        <v>33</v>
      </c>
      <c r="C42" s="20" t="s">
        <v>56</v>
      </c>
      <c r="D42" s="4" t="s">
        <v>83</v>
      </c>
      <c r="E42" s="107">
        <v>32</v>
      </c>
      <c r="F42" s="4" t="s">
        <v>15</v>
      </c>
      <c r="H42" s="21">
        <v>1</v>
      </c>
      <c r="I42" s="95">
        <v>845271</v>
      </c>
      <c r="J42" s="33">
        <v>0.99790000000000001</v>
      </c>
      <c r="K42" s="95">
        <v>977192</v>
      </c>
      <c r="L42" s="33">
        <v>0.99760000000000004</v>
      </c>
      <c r="M42" s="95">
        <v>896765</v>
      </c>
      <c r="N42" s="33">
        <v>0.99750000000000005</v>
      </c>
      <c r="O42" s="95">
        <v>979642</v>
      </c>
      <c r="P42" s="33">
        <v>0.99730000000000008</v>
      </c>
      <c r="Q42" s="95">
        <v>919498</v>
      </c>
      <c r="R42" s="33">
        <v>0.99739999999999995</v>
      </c>
      <c r="S42" s="95">
        <v>826230</v>
      </c>
      <c r="T42" s="33">
        <v>0.99719999999999998</v>
      </c>
      <c r="U42" s="95">
        <v>881759</v>
      </c>
      <c r="V42" s="33">
        <v>0.99629999999999996</v>
      </c>
      <c r="W42" s="95">
        <v>837366</v>
      </c>
      <c r="X42" s="33">
        <v>0.9951000000000001</v>
      </c>
      <c r="Y42" s="95">
        <v>877023</v>
      </c>
      <c r="Z42" s="33">
        <v>0.99069999999999991</v>
      </c>
      <c r="AA42" s="95">
        <v>802941</v>
      </c>
      <c r="AB42" s="33">
        <v>0.97519999999999996</v>
      </c>
      <c r="AC42" s="95">
        <v>732538</v>
      </c>
      <c r="AD42" s="81">
        <v>0.88969999999999994</v>
      </c>
      <c r="AE42" s="95">
        <v>663964</v>
      </c>
      <c r="AF42" s="81">
        <v>0.1411</v>
      </c>
      <c r="AG42" s="93">
        <v>10240189</v>
      </c>
      <c r="AH42" s="82">
        <v>0.93162002302887181</v>
      </c>
    </row>
    <row r="43" spans="2:34" x14ac:dyDescent="0.25">
      <c r="B43" s="34">
        <v>34</v>
      </c>
      <c r="C43" s="20" t="s">
        <v>57</v>
      </c>
      <c r="D43" s="4" t="s">
        <v>84</v>
      </c>
      <c r="E43" s="107">
        <v>33</v>
      </c>
      <c r="F43" s="4" t="s">
        <v>15</v>
      </c>
      <c r="H43" s="21">
        <v>1</v>
      </c>
      <c r="I43" s="95">
        <v>845271</v>
      </c>
      <c r="J43" s="33">
        <v>0.99790000000000001</v>
      </c>
      <c r="K43" s="95">
        <v>977192</v>
      </c>
      <c r="L43" s="33">
        <v>0.99760000000000004</v>
      </c>
      <c r="M43" s="95">
        <v>896765</v>
      </c>
      <c r="N43" s="33">
        <v>0.99750000000000005</v>
      </c>
      <c r="O43" s="95">
        <v>979642</v>
      </c>
      <c r="P43" s="33">
        <v>0.99730000000000008</v>
      </c>
      <c r="Q43" s="95">
        <v>919498</v>
      </c>
      <c r="R43" s="33">
        <v>0.99739999999999995</v>
      </c>
      <c r="S43" s="95">
        <v>826230</v>
      </c>
      <c r="T43" s="33">
        <v>0.99719999999999998</v>
      </c>
      <c r="U43" s="95">
        <v>881759</v>
      </c>
      <c r="V43" s="33">
        <v>0.99629999999999996</v>
      </c>
      <c r="W43" s="95">
        <v>837366</v>
      </c>
      <c r="X43" s="33">
        <v>0.9951000000000001</v>
      </c>
      <c r="Y43" s="95">
        <v>877023</v>
      </c>
      <c r="Z43" s="33">
        <v>0.99069999999999991</v>
      </c>
      <c r="AA43" s="95">
        <v>802941</v>
      </c>
      <c r="AB43" s="33">
        <v>0.97519999999999996</v>
      </c>
      <c r="AC43" s="95">
        <v>732538</v>
      </c>
      <c r="AD43" s="81">
        <v>0.88969999999999994</v>
      </c>
      <c r="AE43" s="95">
        <v>663964</v>
      </c>
      <c r="AF43" s="81">
        <v>0.1411</v>
      </c>
      <c r="AG43" s="93">
        <v>10240189</v>
      </c>
      <c r="AH43" s="82">
        <v>0.93162002302887181</v>
      </c>
    </row>
    <row r="44" spans="2:34" x14ac:dyDescent="0.25">
      <c r="B44" s="34">
        <v>35</v>
      </c>
      <c r="C44" s="9" t="s">
        <v>28</v>
      </c>
      <c r="D44" s="4" t="s">
        <v>111</v>
      </c>
      <c r="E44" s="108">
        <v>55</v>
      </c>
      <c r="F44" s="9" t="s">
        <v>13</v>
      </c>
      <c r="G44" s="9"/>
      <c r="H44" s="21">
        <v>1</v>
      </c>
      <c r="I44" s="95">
        <v>1109989</v>
      </c>
      <c r="J44" s="33">
        <v>1</v>
      </c>
      <c r="K44" s="95">
        <v>1276056</v>
      </c>
      <c r="L44" s="33">
        <v>1</v>
      </c>
      <c r="M44" s="95">
        <v>1171853</v>
      </c>
      <c r="N44" s="33">
        <v>1</v>
      </c>
      <c r="O44" s="95">
        <v>1280996</v>
      </c>
      <c r="P44" s="33">
        <v>1</v>
      </c>
      <c r="Q44" s="95">
        <v>1194535</v>
      </c>
      <c r="R44" s="33">
        <v>1</v>
      </c>
      <c r="S44" s="95">
        <v>1078395</v>
      </c>
      <c r="T44" s="33">
        <v>1</v>
      </c>
      <c r="U44" s="95">
        <v>1144810</v>
      </c>
      <c r="V44" s="33">
        <v>1</v>
      </c>
      <c r="W44" s="95">
        <v>1088991</v>
      </c>
      <c r="X44" s="33">
        <v>1</v>
      </c>
      <c r="Y44" s="95">
        <v>1131664</v>
      </c>
      <c r="Z44" s="33">
        <v>1</v>
      </c>
      <c r="AA44" s="95">
        <v>1045704</v>
      </c>
      <c r="AB44" s="33">
        <v>1</v>
      </c>
      <c r="AC44" s="95">
        <v>968842</v>
      </c>
      <c r="AD44" s="81">
        <v>1</v>
      </c>
      <c r="AE44" s="95">
        <v>916808</v>
      </c>
      <c r="AF44" s="81">
        <v>1</v>
      </c>
      <c r="AG44" s="93">
        <v>13408643</v>
      </c>
      <c r="AH44" s="82">
        <v>1</v>
      </c>
    </row>
    <row r="45" spans="2:34" x14ac:dyDescent="0.25">
      <c r="B45" s="34">
        <v>36</v>
      </c>
      <c r="C45" s="9" t="s">
        <v>36</v>
      </c>
      <c r="D45" s="4" t="s">
        <v>107</v>
      </c>
      <c r="E45" s="108">
        <v>36</v>
      </c>
      <c r="F45" s="9" t="s">
        <v>13</v>
      </c>
      <c r="G45" s="9"/>
      <c r="H45" s="21">
        <v>1</v>
      </c>
      <c r="I45" s="95">
        <v>1109989</v>
      </c>
      <c r="J45" s="33">
        <v>1</v>
      </c>
      <c r="K45" s="95">
        <v>1276056</v>
      </c>
      <c r="L45" s="33">
        <v>1</v>
      </c>
      <c r="M45" s="95">
        <v>1171853</v>
      </c>
      <c r="N45" s="33">
        <v>1</v>
      </c>
      <c r="O45" s="95">
        <v>1280996</v>
      </c>
      <c r="P45" s="33">
        <v>1</v>
      </c>
      <c r="Q45" s="95">
        <v>1194535</v>
      </c>
      <c r="R45" s="33">
        <v>1</v>
      </c>
      <c r="S45" s="95">
        <v>1078395</v>
      </c>
      <c r="T45" s="33">
        <v>1</v>
      </c>
      <c r="U45" s="95">
        <v>1144810</v>
      </c>
      <c r="V45" s="33">
        <v>1</v>
      </c>
      <c r="W45" s="95">
        <v>1088991</v>
      </c>
      <c r="X45" s="33">
        <v>1</v>
      </c>
      <c r="Y45" s="95">
        <v>1131664</v>
      </c>
      <c r="Z45" s="33">
        <v>1</v>
      </c>
      <c r="AA45" s="95">
        <v>1045704</v>
      </c>
      <c r="AB45" s="33">
        <v>1</v>
      </c>
      <c r="AC45" s="95">
        <v>968842</v>
      </c>
      <c r="AD45" s="81">
        <v>1</v>
      </c>
      <c r="AE45" s="95">
        <v>916808</v>
      </c>
      <c r="AF45" s="81">
        <v>1</v>
      </c>
      <c r="AG45" s="93">
        <v>13408643</v>
      </c>
      <c r="AH45" s="82">
        <v>1</v>
      </c>
    </row>
    <row r="46" spans="2:34" x14ac:dyDescent="0.25">
      <c r="B46" s="34">
        <v>37</v>
      </c>
      <c r="C46" s="9" t="s">
        <v>37</v>
      </c>
      <c r="D46" s="4" t="s">
        <v>112</v>
      </c>
      <c r="E46" s="108">
        <v>80</v>
      </c>
      <c r="F46" s="9" t="s">
        <v>13</v>
      </c>
      <c r="G46" s="9"/>
      <c r="H46" s="94">
        <v>1</v>
      </c>
      <c r="I46" s="95">
        <v>1109989</v>
      </c>
      <c r="J46" s="33">
        <v>1</v>
      </c>
      <c r="K46" s="95">
        <v>1276056</v>
      </c>
      <c r="L46" s="33">
        <v>1</v>
      </c>
      <c r="M46" s="95">
        <v>1171853</v>
      </c>
      <c r="N46" s="33">
        <v>1</v>
      </c>
      <c r="O46" s="95">
        <v>1280996</v>
      </c>
      <c r="P46" s="33">
        <v>1</v>
      </c>
      <c r="Q46" s="95">
        <v>1194535</v>
      </c>
      <c r="R46" s="33">
        <v>1</v>
      </c>
      <c r="S46" s="95">
        <v>1078395</v>
      </c>
      <c r="T46" s="33">
        <v>1</v>
      </c>
      <c r="U46" s="95">
        <v>1144810</v>
      </c>
      <c r="V46" s="33">
        <v>1</v>
      </c>
      <c r="W46" s="95">
        <v>1088991</v>
      </c>
      <c r="X46" s="33">
        <v>1</v>
      </c>
      <c r="Y46" s="95">
        <v>1131664</v>
      </c>
      <c r="Z46" s="33">
        <v>1</v>
      </c>
      <c r="AA46" s="95">
        <v>1045704</v>
      </c>
      <c r="AB46" s="81">
        <v>1</v>
      </c>
      <c r="AC46" s="95">
        <v>968842</v>
      </c>
      <c r="AD46" s="81">
        <v>1</v>
      </c>
      <c r="AE46" s="95">
        <v>916808</v>
      </c>
      <c r="AF46" s="81">
        <v>1</v>
      </c>
      <c r="AG46" s="93">
        <v>13408643</v>
      </c>
      <c r="AH46" s="82">
        <v>1</v>
      </c>
    </row>
  </sheetData>
  <pageMargins left="0.25" right="0.25" top="0.75" bottom="0.75" header="0.3" footer="0.3"/>
  <pageSetup scale="75" fitToWidth="2" fitToHeight="2" orientation="landscape" r:id="rId1"/>
  <headerFooter>
    <oddHeader>&amp;L&amp;G&amp;C&amp;"-,Bold"&amp;F - &amp;A&amp;R&amp;G</oddHeader>
    <oddFooter>&amp;L&amp;"-,Bold"&amp;10Draft, Proprietary, and Confidential&amp;R&amp;"-,Bold"&amp;10 &amp;P of &amp;N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G9"/>
  <sheetViews>
    <sheetView showGridLines="0" view="pageLayout" topLeftCell="A10" zoomScaleNormal="100" workbookViewId="0">
      <selection activeCell="C10" sqref="C10"/>
    </sheetView>
  </sheetViews>
  <sheetFormatPr defaultColWidth="9.140625" defaultRowHeight="15" x14ac:dyDescent="0.25"/>
  <cols>
    <col min="1" max="1" width="2.7109375" style="4" customWidth="1"/>
    <col min="2" max="2" width="3.5703125" style="4" customWidth="1"/>
    <col min="3" max="3" width="28.85546875" style="4" bestFit="1" customWidth="1"/>
    <col min="4" max="4" width="26.7109375" style="4" bestFit="1" customWidth="1"/>
    <col min="5" max="5" width="8" style="4" hidden="1" customWidth="1"/>
    <col min="6" max="6" width="8.85546875" style="4" bestFit="1" customWidth="1"/>
    <col min="7" max="7" width="7.7109375" style="4" bestFit="1" customWidth="1"/>
    <col min="8" max="8" width="37.5703125" style="27" customWidth="1"/>
    <col min="9" max="9" width="50.7109375" style="4" hidden="1" customWidth="1"/>
    <col min="10" max="10" width="10.85546875" style="4" bestFit="1" customWidth="1"/>
    <col min="11" max="11" width="13.28515625" style="4" customWidth="1"/>
    <col min="12" max="15" width="10.5703125" style="4" customWidth="1"/>
    <col min="16" max="16" width="11.42578125" style="4" customWidth="1"/>
    <col min="17" max="20" width="10.5703125" style="4" customWidth="1"/>
    <col min="21" max="21" width="11.42578125" style="4" customWidth="1"/>
    <col min="22" max="25" width="10.5703125" style="4" customWidth="1"/>
    <col min="26" max="26" width="11.42578125" style="4" customWidth="1"/>
    <col min="27" max="30" width="10.5703125" style="4" customWidth="1"/>
    <col min="31" max="31" width="11.5703125" style="4" bestFit="1" customWidth="1"/>
    <col min="32" max="33" width="10.5703125" style="4" customWidth="1"/>
    <col min="34" max="16384" width="9.140625" style="4"/>
  </cols>
  <sheetData>
    <row r="2" spans="2:33" x14ac:dyDescent="0.25">
      <c r="B2" s="3"/>
      <c r="C2" s="3" t="s">
        <v>4</v>
      </c>
      <c r="D2" s="28"/>
      <c r="E2" s="3"/>
      <c r="F2" s="3"/>
      <c r="G2" s="3"/>
      <c r="H2" s="74"/>
    </row>
    <row r="3" spans="2:33" x14ac:dyDescent="0.25">
      <c r="B3" s="1"/>
      <c r="C3" s="39">
        <f>Summary!C4</f>
        <v>43221</v>
      </c>
      <c r="D3" s="73" t="str">
        <f>Summary!E4</f>
        <v>NHP</v>
      </c>
      <c r="E3" s="5"/>
      <c r="F3" s="5"/>
      <c r="G3" s="5"/>
      <c r="H3" s="75"/>
      <c r="K3" s="4" t="s">
        <v>94</v>
      </c>
    </row>
    <row r="4" spans="2:33" ht="30" x14ac:dyDescent="0.25">
      <c r="B4" s="5"/>
      <c r="C4" s="5"/>
      <c r="D4" s="5"/>
      <c r="E4" s="5"/>
      <c r="F4" s="5"/>
      <c r="G4" s="5"/>
      <c r="K4" s="60" t="s">
        <v>95</v>
      </c>
      <c r="P4" s="60" t="s">
        <v>95</v>
      </c>
      <c r="U4" s="60" t="s">
        <v>95</v>
      </c>
      <c r="Z4" s="60" t="s">
        <v>95</v>
      </c>
    </row>
    <row r="5" spans="2:33" x14ac:dyDescent="0.25">
      <c r="B5" s="29"/>
      <c r="C5" s="7" t="s">
        <v>129</v>
      </c>
      <c r="D5" s="29"/>
      <c r="E5" s="7"/>
      <c r="F5" s="23"/>
      <c r="G5" s="29"/>
      <c r="H5" s="70"/>
      <c r="I5" s="7"/>
      <c r="J5" s="7"/>
      <c r="K5" s="61">
        <f>EDATE($C$3,-5)</f>
        <v>43070</v>
      </c>
      <c r="L5" s="8" t="str">
        <f>IFERROR(IF(SUMPRODUCT(--(#REF!&lt;#REF!))=$J$8,NA(),SUMPRODUCT(--(#REF!&lt;#REF!))), "N/A")</f>
        <v>N/A</v>
      </c>
      <c r="M5" s="8" t="str">
        <f>IFERROR(IF(SUMPRODUCT(--(#REF!&lt;#REF!))=$J$8,NA(),SUMPRODUCT(--(#REF!&lt;#REF!))), "N/A")</f>
        <v>N/A</v>
      </c>
      <c r="N5" s="8" t="str">
        <f>IFERROR(IF(SUMPRODUCT(--(#REF!&lt;#REF!))=$J$8,NA(),SUMPRODUCT(--(#REF!&lt;#REF!))), "N/A")</f>
        <v>N/A</v>
      </c>
      <c r="O5" s="8" t="str">
        <f>IFERROR(IF(SUMPRODUCT(--(#REF!&lt;#REF!))=$J$8,NA(),SUMPRODUCT(--(#REF!&lt;#REF!))), "N/A")</f>
        <v>N/A</v>
      </c>
      <c r="P5" s="61">
        <f>EDATE($C$3,-4)</f>
        <v>43101</v>
      </c>
      <c r="Q5" s="8" t="str">
        <f>IFERROR(IF(SUMPRODUCT(--(#REF!&lt;#REF!))=$J$8,NA(),SUMPRODUCT(--(#REF!&lt;#REF!))), "N/A")</f>
        <v>N/A</v>
      </c>
      <c r="R5" s="8" t="str">
        <f>IFERROR(IF(SUMPRODUCT(--(#REF!&lt;#REF!))=$J$8,NA(),SUMPRODUCT(--(#REF!&lt;#REF!))), "N/A")</f>
        <v>N/A</v>
      </c>
      <c r="S5" s="8" t="str">
        <f>IFERROR(IF(SUMPRODUCT(--(#REF!&lt;#REF!))=$J$8,NA(),SUMPRODUCT(--(#REF!&lt;#REF!))), "N/A")</f>
        <v>N/A</v>
      </c>
      <c r="T5" s="8" t="str">
        <f>IFERROR(IF(SUMPRODUCT(--(#REF!&lt;#REF!))=$J$8,NA(),SUMPRODUCT(--(#REF!&lt;#REF!))), "N/A")</f>
        <v>N/A</v>
      </c>
      <c r="U5" s="61">
        <f>EDATE($C$3,-3)</f>
        <v>43132</v>
      </c>
      <c r="V5" s="8" t="str">
        <f>IFERROR(IF(SUMPRODUCT(--(#REF!&lt;#REF!))=$J$8,NA(),SUMPRODUCT(--(#REF!&lt;#REF!))), "N/A")</f>
        <v>N/A</v>
      </c>
      <c r="W5" s="8" t="str">
        <f>IFERROR(IF(SUMPRODUCT(--(#REF!&lt;#REF!))=$J$8,NA(),SUMPRODUCT(--(#REF!&lt;#REF!))), "N/A")</f>
        <v>N/A</v>
      </c>
      <c r="X5" s="8" t="str">
        <f>IFERROR(IF(SUMPRODUCT(--(#REF!&lt;#REF!))=$J$8,NA(),SUMPRODUCT(--(#REF!&lt;#REF!))), "N/A")</f>
        <v>N/A</v>
      </c>
      <c r="Y5" s="8" t="str">
        <f>IFERROR(IF(SUMPRODUCT(--(#REF!&lt;#REF!))=$J$8,NA(),SUMPRODUCT(--(#REF!&lt;#REF!))), "N/A")</f>
        <v>N/A</v>
      </c>
      <c r="Z5" s="61">
        <f>EDATE($C$3,-2)</f>
        <v>43160</v>
      </c>
      <c r="AA5" s="8" t="str">
        <f>IFERROR(IF(SUMPRODUCT(--(#REF!&lt;#REF!))=$J$8,NA(),SUMPRODUCT(--(#REF!&lt;#REF!))), "N/A")</f>
        <v>N/A</v>
      </c>
      <c r="AB5" s="8" t="str">
        <f>IFERROR(IF(SUMPRODUCT(--(#REF!&lt;#REF!))=$J$8,NA(),SUMPRODUCT(--(#REF!&lt;#REF!))), "N/A")</f>
        <v>N/A</v>
      </c>
      <c r="AC5" s="8" t="str">
        <f>IFERROR(IF(SUMPRODUCT(--(#REF!&lt;#REF!))=$J$8,NA(),SUMPRODUCT(--(#REF!&lt;#REF!))), "N/A")</f>
        <v>N/A</v>
      </c>
      <c r="AD5" s="8" t="str">
        <f>IFERROR(IF(SUMPRODUCT(--(#REF!&lt;#REF!))=$J$8,NA(),SUMPRODUCT(--(#REF!&lt;#REF!))), "N/A")</f>
        <v>N/A</v>
      </c>
      <c r="AE5" s="50" t="s">
        <v>100</v>
      </c>
      <c r="AF5" s="8" t="str">
        <f>IFERROR(IF(SUMPRODUCT(--(#REF!&lt;#REF!))=$J$8,NA(),SUMPRODUCT(--(#REF!&lt;#REF!))), "N/A")</f>
        <v>N/A</v>
      </c>
      <c r="AG5" s="8" t="str">
        <f>IFERROR(IF(SUMPRODUCT(--(#REF!&lt;#REF!))=$J$8,NA(),SUMPRODUCT(--(#REF!&lt;#REF!))), "N/A")</f>
        <v>N/A</v>
      </c>
    </row>
    <row r="6" spans="2:33" ht="5.0999999999999996" customHeight="1" x14ac:dyDescent="0.25">
      <c r="B6" s="30"/>
      <c r="C6" s="9"/>
      <c r="D6" s="30"/>
      <c r="E6" s="9"/>
      <c r="F6" s="24"/>
      <c r="G6" s="30"/>
      <c r="H6" s="71"/>
      <c r="I6" s="9"/>
      <c r="J6" s="9"/>
      <c r="K6" s="40"/>
      <c r="L6" s="9"/>
      <c r="M6" s="9"/>
      <c r="N6" s="9"/>
      <c r="O6" s="9"/>
      <c r="P6" s="40"/>
      <c r="Q6" s="9"/>
      <c r="R6" s="9"/>
      <c r="S6" s="9"/>
      <c r="T6" s="9"/>
      <c r="U6" s="22"/>
      <c r="V6" s="9"/>
      <c r="W6" s="9"/>
      <c r="X6" s="9"/>
      <c r="Y6" s="9"/>
      <c r="Z6" s="22"/>
      <c r="AA6" s="9"/>
      <c r="AB6" s="9"/>
      <c r="AC6" s="9"/>
      <c r="AD6" s="9"/>
      <c r="AE6" s="22"/>
      <c r="AF6" s="9"/>
      <c r="AG6" s="9"/>
    </row>
    <row r="7" spans="2:33" ht="15" customHeight="1" x14ac:dyDescent="0.25">
      <c r="B7" s="35" t="s">
        <v>21</v>
      </c>
      <c r="C7" s="10" t="s">
        <v>9</v>
      </c>
      <c r="D7" s="31" t="s">
        <v>93</v>
      </c>
      <c r="E7" s="10" t="s">
        <v>87</v>
      </c>
      <c r="F7" s="25" t="s">
        <v>23</v>
      </c>
      <c r="G7" s="31" t="s">
        <v>22</v>
      </c>
      <c r="H7" s="72" t="s">
        <v>10</v>
      </c>
      <c r="I7" s="10" t="s">
        <v>92</v>
      </c>
      <c r="J7" s="11" t="s">
        <v>11</v>
      </c>
      <c r="K7" s="48" t="s">
        <v>12</v>
      </c>
      <c r="L7" s="54" t="s">
        <v>7</v>
      </c>
      <c r="M7" s="55"/>
      <c r="N7" s="55"/>
      <c r="O7" s="55"/>
      <c r="P7" s="47" t="s">
        <v>12</v>
      </c>
      <c r="Q7" s="12" t="s">
        <v>7</v>
      </c>
      <c r="R7" s="13"/>
      <c r="S7" s="13"/>
      <c r="T7" s="13"/>
      <c r="U7" s="47" t="s">
        <v>12</v>
      </c>
      <c r="V7" s="12" t="s">
        <v>7</v>
      </c>
      <c r="W7" s="13"/>
      <c r="X7" s="13"/>
      <c r="Y7" s="13"/>
      <c r="Z7" s="47" t="s">
        <v>12</v>
      </c>
      <c r="AA7" s="12" t="s">
        <v>7</v>
      </c>
      <c r="AB7" s="13"/>
      <c r="AC7" s="13"/>
      <c r="AD7" s="13"/>
      <c r="AE7" s="51"/>
      <c r="AF7" s="11"/>
      <c r="AG7" s="10"/>
    </row>
    <row r="8" spans="2:33" x14ac:dyDescent="0.25">
      <c r="B8" s="35"/>
      <c r="C8" s="18"/>
      <c r="D8" s="32"/>
      <c r="E8" s="18"/>
      <c r="F8" s="26"/>
      <c r="G8" s="32"/>
      <c r="H8" s="72"/>
      <c r="I8" s="10"/>
      <c r="J8" s="19">
        <f>COUNT(J10:J33)</f>
        <v>0</v>
      </c>
      <c r="K8" s="52"/>
      <c r="L8" s="57" t="s">
        <v>0</v>
      </c>
      <c r="M8" s="57" t="s">
        <v>1</v>
      </c>
      <c r="N8" s="57" t="s">
        <v>2</v>
      </c>
      <c r="O8" s="79" t="s">
        <v>3</v>
      </c>
      <c r="P8" s="76"/>
      <c r="Q8" s="12" t="s">
        <v>0</v>
      </c>
      <c r="R8" s="12" t="s">
        <v>1</v>
      </c>
      <c r="S8" s="12" t="s">
        <v>2</v>
      </c>
      <c r="T8" s="12" t="s">
        <v>3</v>
      </c>
      <c r="U8" s="47"/>
      <c r="V8" s="12" t="s">
        <v>0</v>
      </c>
      <c r="W8" s="12" t="s">
        <v>1</v>
      </c>
      <c r="X8" s="12" t="s">
        <v>2</v>
      </c>
      <c r="Y8" s="12" t="s">
        <v>3</v>
      </c>
      <c r="Z8" s="47"/>
      <c r="AA8" s="12" t="s">
        <v>0</v>
      </c>
      <c r="AB8" s="12" t="s">
        <v>1</v>
      </c>
      <c r="AC8" s="12" t="s">
        <v>2</v>
      </c>
      <c r="AD8" s="12" t="s">
        <v>3</v>
      </c>
      <c r="AE8" s="51"/>
      <c r="AF8" s="11" t="s">
        <v>0</v>
      </c>
      <c r="AG8" s="10" t="s">
        <v>96</v>
      </c>
    </row>
    <row r="9" spans="2:33" ht="45" x14ac:dyDescent="0.25">
      <c r="B9" s="35"/>
      <c r="C9" s="18"/>
      <c r="D9" s="32"/>
      <c r="E9" s="18"/>
      <c r="F9" s="26"/>
      <c r="G9" s="32"/>
      <c r="H9" s="72"/>
      <c r="I9" s="10"/>
      <c r="J9" s="19"/>
      <c r="K9" s="53" t="s">
        <v>101</v>
      </c>
      <c r="L9" s="56">
        <f>EDATE($C$3,-3)</f>
        <v>43132</v>
      </c>
      <c r="M9" s="56">
        <f>EDATE($C$3,-2)</f>
        <v>43160</v>
      </c>
      <c r="N9" s="56">
        <f>EDATE($C$3,-1)</f>
        <v>43191</v>
      </c>
      <c r="O9" s="80">
        <f>C3</f>
        <v>43221</v>
      </c>
      <c r="P9" s="77" t="s">
        <v>101</v>
      </c>
      <c r="Q9" s="49">
        <f>EDATE($S$9,-2)</f>
        <v>43160</v>
      </c>
      <c r="R9" s="49">
        <f>EDATE($S$9,-1)</f>
        <v>43191</v>
      </c>
      <c r="S9" s="49">
        <f>$C$3</f>
        <v>43221</v>
      </c>
      <c r="T9" s="49">
        <f>EDATE($S$9,1)</f>
        <v>43252</v>
      </c>
      <c r="U9" s="53" t="s">
        <v>101</v>
      </c>
      <c r="V9" s="49">
        <f>EDATE($S$9,-1)</f>
        <v>43191</v>
      </c>
      <c r="W9" s="49">
        <f>$C$3</f>
        <v>43221</v>
      </c>
      <c r="X9" s="49">
        <f>EDATE($S$9,1)</f>
        <v>43252</v>
      </c>
      <c r="Y9" s="49">
        <f>EDATE($S$9,2)</f>
        <v>43282</v>
      </c>
      <c r="Z9" s="53" t="s">
        <v>101</v>
      </c>
      <c r="AA9" s="49">
        <f>$C$3</f>
        <v>43221</v>
      </c>
      <c r="AB9" s="49">
        <f>EDATE($S$9,1)</f>
        <v>43252</v>
      </c>
      <c r="AC9" s="49">
        <f>EDATE($S$9,2)</f>
        <v>43282</v>
      </c>
      <c r="AD9" s="49">
        <f>EDATE($S$9,3)</f>
        <v>43313</v>
      </c>
      <c r="AE9" s="62" t="s">
        <v>102</v>
      </c>
      <c r="AF9" s="11"/>
      <c r="AG9" s="10"/>
    </row>
  </sheetData>
  <pageMargins left="0.25" right="0.25" top="0.75" bottom="0.75" header="0.3" footer="0.3"/>
  <pageSetup scale="75" fitToWidth="2" fitToHeight="0" orientation="landscape" r:id="rId1"/>
  <headerFooter>
    <oddHeader>&amp;C&amp;"-,Bold"&amp;10&amp;F - &amp;A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Cover</vt:lpstr>
      <vt:lpstr>Summary</vt:lpstr>
      <vt:lpstr>Timeliness</vt:lpstr>
      <vt:lpstr>Completion</vt:lpstr>
      <vt:lpstr>Accuracy</vt:lpstr>
      <vt:lpstr>Accuracy!Print_Area</vt:lpstr>
      <vt:lpstr>Completion!Print_Area</vt:lpstr>
      <vt:lpstr>Cover!Print_Area</vt:lpstr>
      <vt:lpstr>Summary!Print_Area</vt:lpstr>
      <vt:lpstr>Timeliness!Print_Area</vt:lpstr>
      <vt:lpstr>Accuracy!Print_Titles</vt:lpstr>
      <vt:lpstr>Completion!Print_Titles</vt:lpstr>
    </vt:vector>
  </TitlesOfParts>
  <Company>EOHHS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EOHHS</dc:creator>
  <cp:lastModifiedBy>sysadmin</cp:lastModifiedBy>
  <cp:lastPrinted>2018-05-17T20:20:24Z</cp:lastPrinted>
  <dcterms:created xsi:type="dcterms:W3CDTF">2018-03-20T21:29:49Z</dcterms:created>
  <dcterms:modified xsi:type="dcterms:W3CDTF">2018-05-23T15:39:58Z</dcterms:modified>
</cp:coreProperties>
</file>