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27555" windowHeight="12045"/>
  </bookViews>
  <sheets>
    <sheet name="Scorecard Production View" sheetId="2" r:id="rId1"/>
    <sheet name="Encounter Data Submission View" sheetId="1" r:id="rId2"/>
  </sheets>
  <calcPr calcId="145621"/>
</workbook>
</file>

<file path=xl/calcChain.xml><?xml version="1.0" encoding="utf-8"?>
<calcChain xmlns="http://schemas.openxmlformats.org/spreadsheetml/2006/main">
  <c r="D4" i="1" l="1"/>
  <c r="E4" i="1" s="1"/>
  <c r="F4" i="1" s="1"/>
  <c r="G4" i="1" s="1"/>
  <c r="D5" i="1"/>
  <c r="D6" i="1"/>
  <c r="D7" i="1"/>
  <c r="E7" i="1" s="1"/>
  <c r="F7" i="1" s="1"/>
  <c r="D8" i="1"/>
  <c r="L4" i="1" s="1"/>
  <c r="D9" i="1"/>
  <c r="E9" i="1" s="1"/>
  <c r="F9" i="1" s="1"/>
  <c r="D10" i="1"/>
  <c r="L6" i="1" s="1"/>
  <c r="D11" i="1"/>
  <c r="E11" i="1" s="1"/>
  <c r="F11" i="1" s="1"/>
  <c r="D12" i="1"/>
  <c r="L8" i="1" s="1"/>
  <c r="D13" i="1"/>
  <c r="E13" i="1" s="1"/>
  <c r="F13" i="1" s="1"/>
  <c r="M9" i="1" s="1"/>
  <c r="D14" i="1"/>
  <c r="L10" i="1" s="1"/>
  <c r="D3" i="1"/>
  <c r="E3" i="1" s="1"/>
  <c r="F3" i="1" s="1"/>
  <c r="G3" i="1" s="1"/>
  <c r="E14" i="1" l="1"/>
  <c r="F14" i="1" s="1"/>
  <c r="M10" i="1" s="1"/>
  <c r="E6" i="1"/>
  <c r="F6" i="1" s="1"/>
  <c r="L5" i="1"/>
  <c r="E10" i="1"/>
  <c r="F10" i="1" s="1"/>
  <c r="M6" i="1" s="1"/>
  <c r="L7" i="1"/>
  <c r="L3" i="1"/>
  <c r="L9" i="1"/>
  <c r="N4" i="1"/>
  <c r="O4" i="1" s="1"/>
  <c r="G10" i="1"/>
  <c r="G6" i="1"/>
  <c r="N3" i="1"/>
  <c r="O3" i="1" s="1"/>
  <c r="G13" i="1"/>
  <c r="H10" i="1" s="1"/>
  <c r="I10" i="1" s="1"/>
  <c r="J10" i="1" s="1"/>
  <c r="K10" i="1" s="1"/>
  <c r="M7" i="1"/>
  <c r="G11" i="1"/>
  <c r="M5" i="1"/>
  <c r="G9" i="1"/>
  <c r="M3" i="1"/>
  <c r="G7" i="1"/>
  <c r="E12" i="1"/>
  <c r="F12" i="1" s="1"/>
  <c r="E8" i="1"/>
  <c r="F8" i="1" s="1"/>
  <c r="E5" i="1"/>
  <c r="F5" i="1" s="1"/>
  <c r="G14" i="1" l="1"/>
  <c r="H11" i="1" s="1"/>
  <c r="I11" i="1" s="1"/>
  <c r="J11" i="1" s="1"/>
  <c r="K11" i="1" s="1"/>
  <c r="G5" i="1"/>
  <c r="M8" i="1"/>
  <c r="G12" i="1"/>
  <c r="H9" i="1" s="1"/>
  <c r="I9" i="1" s="1"/>
  <c r="J9" i="1" s="1"/>
  <c r="K9" i="1" s="1"/>
  <c r="M4" i="1"/>
  <c r="G8" i="1"/>
  <c r="H4" i="1"/>
  <c r="I4" i="1" s="1"/>
  <c r="J4" i="1" s="1"/>
  <c r="K4" i="1" s="1"/>
  <c r="N7" i="1"/>
  <c r="O7" i="1" s="1"/>
  <c r="H6" i="1"/>
  <c r="I6" i="1" s="1"/>
  <c r="J6" i="1" s="1"/>
  <c r="K6" i="1" s="1"/>
  <c r="N9" i="1"/>
  <c r="O9" i="1" s="1"/>
  <c r="H8" i="1"/>
  <c r="I8" i="1" s="1"/>
  <c r="J8" i="1" s="1"/>
  <c r="K8" i="1" s="1"/>
  <c r="N11" i="1"/>
  <c r="O11" i="1" s="1"/>
  <c r="N13" i="1"/>
  <c r="O13" i="1" s="1"/>
  <c r="H3" i="1"/>
  <c r="I3" i="1" s="1"/>
  <c r="J3" i="1" s="1"/>
  <c r="K3" i="1" s="1"/>
  <c r="N6" i="1"/>
  <c r="O6" i="1" s="1"/>
  <c r="N14" i="1"/>
  <c r="O14" i="1" s="1"/>
  <c r="H7" i="1"/>
  <c r="I7" i="1" s="1"/>
  <c r="J7" i="1" s="1"/>
  <c r="K7" i="1" s="1"/>
  <c r="N10" i="1"/>
  <c r="O10" i="1" s="1"/>
  <c r="N5" i="1" l="1"/>
  <c r="O5" i="1" s="1"/>
  <c r="H5" i="1"/>
  <c r="I5" i="1" s="1"/>
  <c r="J5" i="1" s="1"/>
  <c r="K5" i="1" s="1"/>
  <c r="N8" i="1"/>
  <c r="O8" i="1" s="1"/>
  <c r="N12" i="1"/>
  <c r="O12" i="1" s="1"/>
</calcChain>
</file>

<file path=xl/sharedStrings.xml><?xml version="1.0" encoding="utf-8"?>
<sst xmlns="http://schemas.openxmlformats.org/spreadsheetml/2006/main" count="108" uniqueCount="60">
  <si>
    <t>Encounter Data Dates of Service</t>
  </si>
  <si>
    <t>Month of Service</t>
  </si>
  <si>
    <t>3/1/18 - 3/31/18</t>
  </si>
  <si>
    <t>4/1/18 - 4/30/18</t>
  </si>
  <si>
    <t>5/1/18 - 5/31/18</t>
  </si>
  <si>
    <t>6/1/18 - 6/30/18</t>
  </si>
  <si>
    <t>7/1/18 - 7/31/18</t>
  </si>
  <si>
    <t>8/1/18 - 8/31/18</t>
  </si>
  <si>
    <t>9/1/18 - 9/30/18</t>
  </si>
  <si>
    <t>10/1/18 - 10/31/18</t>
  </si>
  <si>
    <t>11/1/18 - 11/30/18</t>
  </si>
  <si>
    <t>12/1/18 - 12/31/18</t>
  </si>
  <si>
    <t>1/1/19-1/31/19</t>
  </si>
  <si>
    <t>2/1/19-2/28/19</t>
  </si>
  <si>
    <t>Corrections File Submission</t>
  </si>
  <si>
    <t>Initial File Submission</t>
  </si>
  <si>
    <t>Initial File Load</t>
  </si>
  <si>
    <t>Corrections File Load</t>
  </si>
  <si>
    <t>Manual Override Submission</t>
  </si>
  <si>
    <t>Manual Override Load</t>
  </si>
  <si>
    <t>EOM</t>
  </si>
  <si>
    <t>Subsequent Wed.</t>
  </si>
  <si>
    <t>EOW</t>
  </si>
  <si>
    <t>DW Run Query</t>
  </si>
  <si>
    <t>DGRS Report Production</t>
  </si>
  <si>
    <t>Scorecard Delivery</t>
  </si>
  <si>
    <t>M-W Production</t>
  </si>
  <si>
    <t>Meet with Plans</t>
  </si>
  <si>
    <t>Corrections Round 1 Due</t>
  </si>
  <si>
    <t>Corrections Round 2 Due</t>
  </si>
  <si>
    <t>-</t>
  </si>
  <si>
    <t>8/20/18 - 8/24/18</t>
  </si>
  <si>
    <t>9/24/18 - 9/28/18</t>
  </si>
  <si>
    <t>10/22/18 - 10/26/18</t>
  </si>
  <si>
    <t>11/26/18 - 11/30/18</t>
  </si>
  <si>
    <t>12/24/18 - 12/28/18</t>
  </si>
  <si>
    <t>1/21/19 - 1/25/19</t>
  </si>
  <si>
    <t>2/25/19 - 3/1/19</t>
  </si>
  <si>
    <t>3/25/19 - 3/29/19</t>
  </si>
  <si>
    <t>4/22/19 - 4/26/19</t>
  </si>
  <si>
    <t>Scorecard Query Month</t>
  </si>
  <si>
    <t>Months of Service Contained</t>
  </si>
  <si>
    <t>3/18, 4/18, 5/18, 6/18</t>
  </si>
  <si>
    <t>4/18, 5/18, 6/18, 7/18</t>
  </si>
  <si>
    <t>5/18, 6/18, 7/18, 8/18</t>
  </si>
  <si>
    <t>6/18, 7/18, 8/18, 9/18</t>
  </si>
  <si>
    <t>7/18, 8/18, 9/18, 10/18</t>
  </si>
  <si>
    <t>8/18, 9/18, 10/18, 11/18</t>
  </si>
  <si>
    <t>9/18, 10/18, 11/18, 12/18</t>
  </si>
  <si>
    <t>10/18, 11/18, 12/18, 1/19</t>
  </si>
  <si>
    <t>11/18, 12/18, 1/19, 2/19</t>
  </si>
  <si>
    <t>3/18</t>
  </si>
  <si>
    <t>3/18, 4/18</t>
  </si>
  <si>
    <t>3/18, 4/18, 5/18</t>
  </si>
  <si>
    <t>Friday after Corrections File load</t>
  </si>
  <si>
    <t>Production M-W</t>
  </si>
  <si>
    <t>Delivery on Friday</t>
  </si>
  <si>
    <t>1 week to meet w/ Plans</t>
  </si>
  <si>
    <t>Via Initial File</t>
  </si>
  <si>
    <t>Via Corrections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</si>
</sst>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yyyy"/>
    <numFmt numFmtId="167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0F7D7"/>
        <bgColor rgb="FF000000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Dashed">
        <color rgb="FFFF0000"/>
      </left>
      <right style="thin">
        <color theme="0" tint="-0.249977111117893"/>
      </right>
      <top style="mediumDashed">
        <color rgb="FFFF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Dashed">
        <color rgb="FFFF0000"/>
      </top>
      <bottom style="thin">
        <color theme="0" tint="-0.249977111117893"/>
      </bottom>
      <diagonal/>
    </border>
    <border>
      <left style="thin">
        <color theme="0" tint="-0.249977111117893"/>
      </left>
      <right style="mediumDashed">
        <color rgb="FFFF0000"/>
      </right>
      <top style="mediumDashed">
        <color rgb="FFFF0000"/>
      </top>
      <bottom style="thin">
        <color theme="0" tint="-0.249977111117893"/>
      </bottom>
      <diagonal/>
    </border>
    <border>
      <left style="mediumDashed">
        <color rgb="FFFF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Dashed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Dashed">
        <color rgb="FFFF0000"/>
      </left>
      <right style="thin">
        <color theme="0" tint="-0.249977111117893"/>
      </right>
      <top style="thin">
        <color theme="0" tint="-0.249977111117893"/>
      </top>
      <bottom style="mediumDashed">
        <color rgb="FFFF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Dashed">
        <color rgb="FFFF0000"/>
      </bottom>
      <diagonal/>
    </border>
    <border>
      <left style="thin">
        <color theme="0" tint="-0.249977111117893"/>
      </left>
      <right style="mediumDashed">
        <color rgb="FFFF0000"/>
      </right>
      <top style="thin">
        <color theme="0" tint="-0.249977111117893"/>
      </top>
      <bottom style="mediumDashed">
        <color rgb="FFFF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67" fontId="0" fillId="0" borderId="7" xfId="0" applyNumberFormat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7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tabSelected="1" zoomScaleNormal="100" workbookViewId="0"/>
  </sheetViews>
  <sheetFormatPr defaultRowHeight="15" x14ac:dyDescent="0.25"/>
  <cols>
    <col min="1" max="1" width="15.5703125" bestFit="1" customWidth="1"/>
    <col min="2" max="2" width="32.140625" bestFit="1" customWidth="1"/>
    <col min="3" max="8" width="19.28515625" style="34" customWidth="1"/>
  </cols>
  <sheetData>
    <row r="1" spans="1:8" ht="30" x14ac:dyDescent="0.25">
      <c r="C1" s="32" t="s">
        <v>54</v>
      </c>
      <c r="D1" s="32" t="s">
        <v>55</v>
      </c>
      <c r="E1" s="32" t="s">
        <v>56</v>
      </c>
      <c r="F1" s="32" t="s">
        <v>57</v>
      </c>
      <c r="G1" s="32" t="s">
        <v>58</v>
      </c>
      <c r="H1" s="32" t="s">
        <v>59</v>
      </c>
    </row>
    <row r="2" spans="1:8" ht="30" x14ac:dyDescent="0.25">
      <c r="A2" s="14" t="s">
        <v>40</v>
      </c>
      <c r="B2" s="14" t="s">
        <v>41</v>
      </c>
      <c r="C2" s="7" t="s">
        <v>23</v>
      </c>
      <c r="D2" s="7" t="s">
        <v>24</v>
      </c>
      <c r="E2" s="7" t="s">
        <v>25</v>
      </c>
      <c r="F2" s="7" t="s">
        <v>27</v>
      </c>
      <c r="G2" s="8" t="s">
        <v>28</v>
      </c>
      <c r="H2" s="8" t="s">
        <v>29</v>
      </c>
    </row>
    <row r="3" spans="1:8" x14ac:dyDescent="0.25">
      <c r="A3" s="15">
        <v>43313</v>
      </c>
      <c r="B3" s="16" t="s">
        <v>51</v>
      </c>
      <c r="C3" s="11">
        <v>43322</v>
      </c>
      <c r="D3" s="11">
        <v>43327</v>
      </c>
      <c r="E3" s="11">
        <v>43329</v>
      </c>
      <c r="F3" s="12" t="s">
        <v>31</v>
      </c>
      <c r="G3" s="12">
        <v>43343</v>
      </c>
      <c r="H3" s="12">
        <v>43355</v>
      </c>
    </row>
    <row r="4" spans="1:8" x14ac:dyDescent="0.25">
      <c r="A4" s="15">
        <v>43344</v>
      </c>
      <c r="B4" s="16" t="s">
        <v>52</v>
      </c>
      <c r="C4" s="11">
        <v>43357</v>
      </c>
      <c r="D4" s="11">
        <v>43362</v>
      </c>
      <c r="E4" s="11">
        <v>43364</v>
      </c>
      <c r="F4" s="12" t="s">
        <v>32</v>
      </c>
      <c r="G4" s="12">
        <v>43373</v>
      </c>
      <c r="H4" s="12">
        <v>43383</v>
      </c>
    </row>
    <row r="5" spans="1:8" x14ac:dyDescent="0.25">
      <c r="A5" s="15">
        <v>43374</v>
      </c>
      <c r="B5" s="16" t="s">
        <v>53</v>
      </c>
      <c r="C5" s="11">
        <v>43385</v>
      </c>
      <c r="D5" s="11">
        <v>43390</v>
      </c>
      <c r="E5" s="11">
        <v>43392</v>
      </c>
      <c r="F5" s="12" t="s">
        <v>33</v>
      </c>
      <c r="G5" s="12">
        <v>43404</v>
      </c>
      <c r="H5" s="12">
        <v>43418</v>
      </c>
    </row>
    <row r="6" spans="1:8" x14ac:dyDescent="0.25">
      <c r="A6" s="15">
        <v>43405</v>
      </c>
      <c r="B6" s="16" t="s">
        <v>42</v>
      </c>
      <c r="C6" s="11">
        <v>43420</v>
      </c>
      <c r="D6" s="11">
        <v>43425</v>
      </c>
      <c r="E6" s="11">
        <v>43427</v>
      </c>
      <c r="F6" s="12" t="s">
        <v>34</v>
      </c>
      <c r="G6" s="12">
        <v>43434</v>
      </c>
      <c r="H6" s="12">
        <v>43446</v>
      </c>
    </row>
    <row r="7" spans="1:8" x14ac:dyDescent="0.25">
      <c r="A7" s="15">
        <v>43435</v>
      </c>
      <c r="B7" s="16" t="s">
        <v>43</v>
      </c>
      <c r="C7" s="11">
        <v>43448</v>
      </c>
      <c r="D7" s="11">
        <v>43453</v>
      </c>
      <c r="E7" s="11">
        <v>43455</v>
      </c>
      <c r="F7" s="12" t="s">
        <v>35</v>
      </c>
      <c r="G7" s="12">
        <v>43465</v>
      </c>
      <c r="H7" s="12">
        <v>43474</v>
      </c>
    </row>
    <row r="8" spans="1:8" x14ac:dyDescent="0.25">
      <c r="A8" s="15">
        <v>43466</v>
      </c>
      <c r="B8" s="16" t="s">
        <v>44</v>
      </c>
      <c r="C8" s="11">
        <v>43476</v>
      </c>
      <c r="D8" s="11">
        <v>43481</v>
      </c>
      <c r="E8" s="11">
        <v>43483</v>
      </c>
      <c r="F8" s="12" t="s">
        <v>36</v>
      </c>
      <c r="G8" s="12">
        <v>43496</v>
      </c>
      <c r="H8" s="12">
        <v>43509</v>
      </c>
    </row>
    <row r="9" spans="1:8" x14ac:dyDescent="0.25">
      <c r="A9" s="15">
        <v>43497</v>
      </c>
      <c r="B9" s="16" t="s">
        <v>45</v>
      </c>
      <c r="C9" s="11">
        <v>43511</v>
      </c>
      <c r="D9" s="11">
        <v>43516</v>
      </c>
      <c r="E9" s="11">
        <v>43518</v>
      </c>
      <c r="F9" s="12" t="s">
        <v>37</v>
      </c>
      <c r="G9" s="12">
        <v>43524</v>
      </c>
      <c r="H9" s="12">
        <v>43537</v>
      </c>
    </row>
    <row r="10" spans="1:8" x14ac:dyDescent="0.25">
      <c r="A10" s="15">
        <v>43525</v>
      </c>
      <c r="B10" s="16" t="s">
        <v>46</v>
      </c>
      <c r="C10" s="11">
        <v>43539</v>
      </c>
      <c r="D10" s="11">
        <v>43544</v>
      </c>
      <c r="E10" s="11">
        <v>43546</v>
      </c>
      <c r="F10" s="12" t="s">
        <v>38</v>
      </c>
      <c r="G10" s="12">
        <v>43555</v>
      </c>
      <c r="H10" s="12">
        <v>43565</v>
      </c>
    </row>
    <row r="11" spans="1:8" x14ac:dyDescent="0.25">
      <c r="A11" s="15">
        <v>43556</v>
      </c>
      <c r="B11" s="16" t="s">
        <v>47</v>
      </c>
      <c r="C11" s="11">
        <v>43567</v>
      </c>
      <c r="D11" s="11">
        <v>43572</v>
      </c>
      <c r="E11" s="11">
        <v>43574</v>
      </c>
      <c r="F11" s="12" t="s">
        <v>39</v>
      </c>
      <c r="G11" s="12" t="s">
        <v>30</v>
      </c>
      <c r="H11" s="12" t="s">
        <v>30</v>
      </c>
    </row>
    <row r="12" spans="1:8" x14ac:dyDescent="0.25">
      <c r="A12" s="15">
        <v>43586</v>
      </c>
      <c r="B12" s="16" t="s">
        <v>48</v>
      </c>
      <c r="C12" s="33" t="s">
        <v>30</v>
      </c>
      <c r="D12" s="33" t="s">
        <v>30</v>
      </c>
      <c r="E12" s="33" t="s">
        <v>30</v>
      </c>
      <c r="F12" s="33" t="s">
        <v>30</v>
      </c>
      <c r="G12" s="33" t="s">
        <v>30</v>
      </c>
      <c r="H12" s="33" t="s">
        <v>30</v>
      </c>
    </row>
    <row r="13" spans="1:8" x14ac:dyDescent="0.25">
      <c r="A13" s="15">
        <v>43617</v>
      </c>
      <c r="B13" s="16" t="s">
        <v>49</v>
      </c>
      <c r="C13" s="33" t="s">
        <v>30</v>
      </c>
      <c r="D13" s="33" t="s">
        <v>30</v>
      </c>
      <c r="E13" s="33" t="s">
        <v>30</v>
      </c>
      <c r="F13" s="33" t="s">
        <v>30</v>
      </c>
      <c r="G13" s="33" t="s">
        <v>30</v>
      </c>
      <c r="H13" s="33" t="s">
        <v>30</v>
      </c>
    </row>
    <row r="14" spans="1:8" x14ac:dyDescent="0.25">
      <c r="A14" s="15">
        <v>43647</v>
      </c>
      <c r="B14" s="16" t="s">
        <v>50</v>
      </c>
      <c r="C14" s="33" t="s">
        <v>30</v>
      </c>
      <c r="D14" s="33" t="s">
        <v>30</v>
      </c>
      <c r="E14" s="33" t="s">
        <v>30</v>
      </c>
      <c r="F14" s="33" t="s">
        <v>30</v>
      </c>
      <c r="G14" s="33" t="s">
        <v>30</v>
      </c>
      <c r="H14" s="33" t="s">
        <v>30</v>
      </c>
    </row>
  </sheetData>
  <pageMargins left="0.7" right="0.7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"/>
  <sheetViews>
    <sheetView topLeftCell="B1" workbookViewId="0">
      <selection activeCell="B1" sqref="B1"/>
    </sheetView>
  </sheetViews>
  <sheetFormatPr defaultRowHeight="15" x14ac:dyDescent="0.25"/>
  <cols>
    <col min="1" max="1" width="9.7109375" hidden="1" customWidth="1"/>
    <col min="2" max="2" width="17.28515625" bestFit="1" customWidth="1"/>
    <col min="3" max="3" width="15.42578125" bestFit="1" customWidth="1"/>
    <col min="4" max="4" width="17.28515625" style="1" customWidth="1"/>
    <col min="5" max="10" width="17.28515625" customWidth="1"/>
    <col min="11" max="11" width="18.28515625" bestFit="1" customWidth="1"/>
    <col min="12" max="13" width="16.140625" customWidth="1"/>
    <col min="14" max="15" width="17.28515625" customWidth="1"/>
  </cols>
  <sheetData>
    <row r="1" spans="1:15" ht="15.75" thickBot="1" x14ac:dyDescent="0.3">
      <c r="D1" s="3" t="s">
        <v>20</v>
      </c>
      <c r="E1" s="3" t="s">
        <v>21</v>
      </c>
      <c r="F1" s="4" t="s">
        <v>21</v>
      </c>
      <c r="G1" s="4"/>
      <c r="H1" s="3" t="s">
        <v>22</v>
      </c>
      <c r="I1" s="3" t="s">
        <v>26</v>
      </c>
      <c r="J1" s="3" t="s">
        <v>22</v>
      </c>
      <c r="K1" s="3"/>
      <c r="L1" s="3"/>
      <c r="M1" s="3"/>
      <c r="N1" s="4" t="s">
        <v>21</v>
      </c>
      <c r="O1" s="4"/>
    </row>
    <row r="2" spans="1:15" ht="30" x14ac:dyDescent="0.25">
      <c r="B2" s="5" t="s">
        <v>0</v>
      </c>
      <c r="C2" s="5" t="s">
        <v>1</v>
      </c>
      <c r="D2" s="6" t="s">
        <v>15</v>
      </c>
      <c r="E2" s="6" t="s">
        <v>16</v>
      </c>
      <c r="F2" s="6" t="s">
        <v>14</v>
      </c>
      <c r="G2" s="17" t="s">
        <v>17</v>
      </c>
      <c r="H2" s="21" t="s">
        <v>23</v>
      </c>
      <c r="I2" s="22" t="s">
        <v>24</v>
      </c>
      <c r="J2" s="22" t="s">
        <v>25</v>
      </c>
      <c r="K2" s="22" t="s">
        <v>27</v>
      </c>
      <c r="L2" s="23" t="s">
        <v>28</v>
      </c>
      <c r="M2" s="24" t="s">
        <v>29</v>
      </c>
      <c r="N2" s="19" t="s">
        <v>18</v>
      </c>
      <c r="O2" s="6" t="s">
        <v>19</v>
      </c>
    </row>
    <row r="3" spans="1:15" x14ac:dyDescent="0.25">
      <c r="A3" s="2">
        <v>43160</v>
      </c>
      <c r="B3" s="9" t="s">
        <v>2</v>
      </c>
      <c r="C3" s="10">
        <v>43160</v>
      </c>
      <c r="D3" s="11">
        <f>DATE(YEAR(A3),MONTH(A3)+2,1)-1</f>
        <v>43220</v>
      </c>
      <c r="E3" s="11">
        <f>DATE(YEAR(D3+1),MONTH(D3+1),1)+MOD(11-WEEKDAY(DATE(YEAR(D3+1),MONTH(D3+1),1)),7)</f>
        <v>43222</v>
      </c>
      <c r="F3" s="11">
        <f>E3+7</f>
        <v>43229</v>
      </c>
      <c r="G3" s="18">
        <f>F3</f>
        <v>43229</v>
      </c>
      <c r="H3" s="25">
        <f>G6+2</f>
        <v>43322</v>
      </c>
      <c r="I3" s="11">
        <f t="shared" ref="I3:I11" si="0">H3+5</f>
        <v>43327</v>
      </c>
      <c r="J3" s="11">
        <f t="shared" ref="J3:J11" si="1">I3+2</f>
        <v>43329</v>
      </c>
      <c r="K3" s="12" t="str">
        <f t="shared" ref="K3:K11" si="2">CONCATENATE(TEXT(J3+3,"M/D/YY")," - ",TEXT(J3+7,"M/D/YY"))</f>
        <v>8/20/18 - 8/24/18</v>
      </c>
      <c r="L3" s="12">
        <f>D7</f>
        <v>43343</v>
      </c>
      <c r="M3" s="26">
        <f>F7</f>
        <v>43355</v>
      </c>
      <c r="N3" s="20">
        <f>G3+7</f>
        <v>43236</v>
      </c>
      <c r="O3" s="11">
        <f>N3</f>
        <v>43236</v>
      </c>
    </row>
    <row r="4" spans="1:15" x14ac:dyDescent="0.25">
      <c r="A4" s="2">
        <v>43191</v>
      </c>
      <c r="B4" s="9" t="s">
        <v>3</v>
      </c>
      <c r="C4" s="10">
        <v>43191</v>
      </c>
      <c r="D4" s="11">
        <f t="shared" ref="D4:D14" si="3">DATE(YEAR(A4),MONTH(A4)+2,1)-1</f>
        <v>43251</v>
      </c>
      <c r="E4" s="11">
        <f t="shared" ref="E4:E14" si="4">DATE(YEAR(D4+1),MONTH(D4+1),1)+MOD(11-WEEKDAY(DATE(YEAR(D4+1),MONTH(D4+1),1)),7)</f>
        <v>43257</v>
      </c>
      <c r="F4" s="11">
        <f t="shared" ref="F4:F14" si="5">E4+7</f>
        <v>43264</v>
      </c>
      <c r="G4" s="18">
        <f t="shared" ref="G4:G14" si="6">F4</f>
        <v>43264</v>
      </c>
      <c r="H4" s="25">
        <f>G7+2</f>
        <v>43357</v>
      </c>
      <c r="I4" s="11">
        <f t="shared" si="0"/>
        <v>43362</v>
      </c>
      <c r="J4" s="11">
        <f t="shared" si="1"/>
        <v>43364</v>
      </c>
      <c r="K4" s="12" t="str">
        <f t="shared" si="2"/>
        <v>9/24/18 - 9/28/18</v>
      </c>
      <c r="L4" s="12">
        <f>D8</f>
        <v>43373</v>
      </c>
      <c r="M4" s="26">
        <f>F8</f>
        <v>43383</v>
      </c>
      <c r="N4" s="20">
        <f t="shared" ref="N4:N14" si="7">G4+7</f>
        <v>43271</v>
      </c>
      <c r="O4" s="11">
        <f t="shared" ref="O4:O14" si="8">N4</f>
        <v>43271</v>
      </c>
    </row>
    <row r="5" spans="1:15" x14ac:dyDescent="0.25">
      <c r="A5" s="2">
        <v>43221</v>
      </c>
      <c r="B5" s="9" t="s">
        <v>4</v>
      </c>
      <c r="C5" s="10">
        <v>43221</v>
      </c>
      <c r="D5" s="11">
        <f t="shared" si="3"/>
        <v>43281</v>
      </c>
      <c r="E5" s="11">
        <f t="shared" si="4"/>
        <v>43285</v>
      </c>
      <c r="F5" s="11">
        <f t="shared" si="5"/>
        <v>43292</v>
      </c>
      <c r="G5" s="18">
        <f t="shared" si="6"/>
        <v>43292</v>
      </c>
      <c r="H5" s="25">
        <f>G8+2</f>
        <v>43385</v>
      </c>
      <c r="I5" s="11">
        <f t="shared" si="0"/>
        <v>43390</v>
      </c>
      <c r="J5" s="11">
        <f t="shared" si="1"/>
        <v>43392</v>
      </c>
      <c r="K5" s="12" t="str">
        <f t="shared" si="2"/>
        <v>10/22/18 - 10/26/18</v>
      </c>
      <c r="L5" s="12">
        <f>D9</f>
        <v>43404</v>
      </c>
      <c r="M5" s="26">
        <f>F9</f>
        <v>43418</v>
      </c>
      <c r="N5" s="20">
        <f t="shared" si="7"/>
        <v>43299</v>
      </c>
      <c r="O5" s="11">
        <f t="shared" si="8"/>
        <v>43299</v>
      </c>
    </row>
    <row r="6" spans="1:15" x14ac:dyDescent="0.25">
      <c r="A6" s="2">
        <v>43252</v>
      </c>
      <c r="B6" s="9" t="s">
        <v>5</v>
      </c>
      <c r="C6" s="10">
        <v>43252</v>
      </c>
      <c r="D6" s="11">
        <f t="shared" si="3"/>
        <v>43312</v>
      </c>
      <c r="E6" s="11">
        <f t="shared" si="4"/>
        <v>43313</v>
      </c>
      <c r="F6" s="11">
        <f t="shared" si="5"/>
        <v>43320</v>
      </c>
      <c r="G6" s="18">
        <f t="shared" si="6"/>
        <v>43320</v>
      </c>
      <c r="H6" s="25">
        <f>G9+2</f>
        <v>43420</v>
      </c>
      <c r="I6" s="11">
        <f t="shared" si="0"/>
        <v>43425</v>
      </c>
      <c r="J6" s="11">
        <f t="shared" si="1"/>
        <v>43427</v>
      </c>
      <c r="K6" s="12" t="str">
        <f t="shared" si="2"/>
        <v>11/26/18 - 11/30/18</v>
      </c>
      <c r="L6" s="12">
        <f>D10</f>
        <v>43434</v>
      </c>
      <c r="M6" s="26">
        <f>F10</f>
        <v>43446</v>
      </c>
      <c r="N6" s="20">
        <f t="shared" si="7"/>
        <v>43327</v>
      </c>
      <c r="O6" s="11">
        <f t="shared" si="8"/>
        <v>43327</v>
      </c>
    </row>
    <row r="7" spans="1:15" x14ac:dyDescent="0.25">
      <c r="A7" s="2">
        <v>43282</v>
      </c>
      <c r="B7" s="9" t="s">
        <v>6</v>
      </c>
      <c r="C7" s="10">
        <v>43282</v>
      </c>
      <c r="D7" s="11">
        <f t="shared" si="3"/>
        <v>43343</v>
      </c>
      <c r="E7" s="11">
        <f t="shared" si="4"/>
        <v>43348</v>
      </c>
      <c r="F7" s="11">
        <f t="shared" si="5"/>
        <v>43355</v>
      </c>
      <c r="G7" s="18">
        <f t="shared" si="6"/>
        <v>43355</v>
      </c>
      <c r="H7" s="25">
        <f>G10+2</f>
        <v>43448</v>
      </c>
      <c r="I7" s="11">
        <f t="shared" si="0"/>
        <v>43453</v>
      </c>
      <c r="J7" s="11">
        <f t="shared" si="1"/>
        <v>43455</v>
      </c>
      <c r="K7" s="12" t="str">
        <f t="shared" si="2"/>
        <v>12/24/18 - 12/28/18</v>
      </c>
      <c r="L7" s="12">
        <f>D11</f>
        <v>43465</v>
      </c>
      <c r="M7" s="26">
        <f>F11</f>
        <v>43474</v>
      </c>
      <c r="N7" s="20">
        <f t="shared" si="7"/>
        <v>43362</v>
      </c>
      <c r="O7" s="11">
        <f t="shared" si="8"/>
        <v>43362</v>
      </c>
    </row>
    <row r="8" spans="1:15" x14ac:dyDescent="0.25">
      <c r="A8" s="2">
        <v>43313</v>
      </c>
      <c r="B8" s="9" t="s">
        <v>7</v>
      </c>
      <c r="C8" s="10">
        <v>43313</v>
      </c>
      <c r="D8" s="11">
        <f t="shared" si="3"/>
        <v>43373</v>
      </c>
      <c r="E8" s="11">
        <f t="shared" si="4"/>
        <v>43376</v>
      </c>
      <c r="F8" s="11">
        <f t="shared" si="5"/>
        <v>43383</v>
      </c>
      <c r="G8" s="18">
        <f t="shared" si="6"/>
        <v>43383</v>
      </c>
      <c r="H8" s="25">
        <f>G11+2</f>
        <v>43476</v>
      </c>
      <c r="I8" s="11">
        <f t="shared" si="0"/>
        <v>43481</v>
      </c>
      <c r="J8" s="11">
        <f t="shared" si="1"/>
        <v>43483</v>
      </c>
      <c r="K8" s="12" t="str">
        <f t="shared" si="2"/>
        <v>1/21/19 - 1/25/19</v>
      </c>
      <c r="L8" s="12">
        <f>D12</f>
        <v>43496</v>
      </c>
      <c r="M8" s="26">
        <f>F12</f>
        <v>43509</v>
      </c>
      <c r="N8" s="20">
        <f t="shared" si="7"/>
        <v>43390</v>
      </c>
      <c r="O8" s="11">
        <f t="shared" si="8"/>
        <v>43390</v>
      </c>
    </row>
    <row r="9" spans="1:15" x14ac:dyDescent="0.25">
      <c r="A9" s="2">
        <v>43344</v>
      </c>
      <c r="B9" s="9" t="s">
        <v>8</v>
      </c>
      <c r="C9" s="10">
        <v>43344</v>
      </c>
      <c r="D9" s="11">
        <f t="shared" si="3"/>
        <v>43404</v>
      </c>
      <c r="E9" s="11">
        <f t="shared" si="4"/>
        <v>43411</v>
      </c>
      <c r="F9" s="11">
        <f t="shared" si="5"/>
        <v>43418</v>
      </c>
      <c r="G9" s="18">
        <f t="shared" si="6"/>
        <v>43418</v>
      </c>
      <c r="H9" s="25">
        <f>G12+2</f>
        <v>43511</v>
      </c>
      <c r="I9" s="11">
        <f t="shared" si="0"/>
        <v>43516</v>
      </c>
      <c r="J9" s="11">
        <f t="shared" si="1"/>
        <v>43518</v>
      </c>
      <c r="K9" s="12" t="str">
        <f t="shared" si="2"/>
        <v>2/25/19 - 3/1/19</v>
      </c>
      <c r="L9" s="12">
        <f>D13</f>
        <v>43524</v>
      </c>
      <c r="M9" s="26">
        <f>F13</f>
        <v>43537</v>
      </c>
      <c r="N9" s="20">
        <f t="shared" si="7"/>
        <v>43425</v>
      </c>
      <c r="O9" s="11">
        <f t="shared" si="8"/>
        <v>43425</v>
      </c>
    </row>
    <row r="10" spans="1:15" x14ac:dyDescent="0.25">
      <c r="A10" s="2">
        <v>43374</v>
      </c>
      <c r="B10" s="9" t="s">
        <v>9</v>
      </c>
      <c r="C10" s="10">
        <v>43374</v>
      </c>
      <c r="D10" s="11">
        <f t="shared" si="3"/>
        <v>43434</v>
      </c>
      <c r="E10" s="11">
        <f t="shared" si="4"/>
        <v>43439</v>
      </c>
      <c r="F10" s="11">
        <f t="shared" si="5"/>
        <v>43446</v>
      </c>
      <c r="G10" s="18">
        <f t="shared" si="6"/>
        <v>43446</v>
      </c>
      <c r="H10" s="25">
        <f>G13+2</f>
        <v>43539</v>
      </c>
      <c r="I10" s="11">
        <f t="shared" si="0"/>
        <v>43544</v>
      </c>
      <c r="J10" s="11">
        <f t="shared" si="1"/>
        <v>43546</v>
      </c>
      <c r="K10" s="12" t="str">
        <f t="shared" si="2"/>
        <v>3/25/19 - 3/29/19</v>
      </c>
      <c r="L10" s="12">
        <f>D14</f>
        <v>43555</v>
      </c>
      <c r="M10" s="26">
        <f>F14</f>
        <v>43565</v>
      </c>
      <c r="N10" s="20">
        <f t="shared" si="7"/>
        <v>43453</v>
      </c>
      <c r="O10" s="11">
        <f t="shared" si="8"/>
        <v>43453</v>
      </c>
    </row>
    <row r="11" spans="1:15" x14ac:dyDescent="0.25">
      <c r="A11" s="2">
        <v>43405</v>
      </c>
      <c r="B11" s="9" t="s">
        <v>10</v>
      </c>
      <c r="C11" s="10">
        <v>43405</v>
      </c>
      <c r="D11" s="11">
        <f t="shared" si="3"/>
        <v>43465</v>
      </c>
      <c r="E11" s="11">
        <f t="shared" si="4"/>
        <v>43467</v>
      </c>
      <c r="F11" s="11">
        <f t="shared" si="5"/>
        <v>43474</v>
      </c>
      <c r="G11" s="18">
        <f t="shared" si="6"/>
        <v>43474</v>
      </c>
      <c r="H11" s="25">
        <f>G14+2</f>
        <v>43567</v>
      </c>
      <c r="I11" s="11">
        <f t="shared" si="0"/>
        <v>43572</v>
      </c>
      <c r="J11" s="11">
        <f t="shared" si="1"/>
        <v>43574</v>
      </c>
      <c r="K11" s="12" t="str">
        <f t="shared" si="2"/>
        <v>4/22/19 - 4/26/19</v>
      </c>
      <c r="L11" s="12" t="s">
        <v>30</v>
      </c>
      <c r="M11" s="26" t="s">
        <v>30</v>
      </c>
      <c r="N11" s="20">
        <f t="shared" si="7"/>
        <v>43481</v>
      </c>
      <c r="O11" s="11">
        <f t="shared" si="8"/>
        <v>43481</v>
      </c>
    </row>
    <row r="12" spans="1:15" x14ac:dyDescent="0.25">
      <c r="A12" s="2">
        <v>43435</v>
      </c>
      <c r="B12" s="9" t="s">
        <v>11</v>
      </c>
      <c r="C12" s="10">
        <v>43435</v>
      </c>
      <c r="D12" s="11">
        <f t="shared" si="3"/>
        <v>43496</v>
      </c>
      <c r="E12" s="11">
        <f t="shared" si="4"/>
        <v>43502</v>
      </c>
      <c r="F12" s="11">
        <f t="shared" si="5"/>
        <v>43509</v>
      </c>
      <c r="G12" s="18">
        <f t="shared" si="6"/>
        <v>43509</v>
      </c>
      <c r="H12" s="27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28" t="s">
        <v>30</v>
      </c>
      <c r="N12" s="20">
        <f t="shared" si="7"/>
        <v>43516</v>
      </c>
      <c r="O12" s="11">
        <f t="shared" si="8"/>
        <v>43516</v>
      </c>
    </row>
    <row r="13" spans="1:15" x14ac:dyDescent="0.25">
      <c r="A13" s="2">
        <v>43466</v>
      </c>
      <c r="B13" s="9" t="s">
        <v>12</v>
      </c>
      <c r="C13" s="10">
        <v>43466</v>
      </c>
      <c r="D13" s="11">
        <f t="shared" si="3"/>
        <v>43524</v>
      </c>
      <c r="E13" s="11">
        <f t="shared" si="4"/>
        <v>43530</v>
      </c>
      <c r="F13" s="11">
        <f t="shared" si="5"/>
        <v>43537</v>
      </c>
      <c r="G13" s="18">
        <f t="shared" si="6"/>
        <v>43537</v>
      </c>
      <c r="H13" s="27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28" t="s">
        <v>30</v>
      </c>
      <c r="N13" s="20">
        <f t="shared" si="7"/>
        <v>43544</v>
      </c>
      <c r="O13" s="11">
        <f t="shared" si="8"/>
        <v>43544</v>
      </c>
    </row>
    <row r="14" spans="1:15" ht="15.75" thickBot="1" x14ac:dyDescent="0.3">
      <c r="A14" s="2">
        <v>43497</v>
      </c>
      <c r="B14" s="9" t="s">
        <v>13</v>
      </c>
      <c r="C14" s="10">
        <v>43497</v>
      </c>
      <c r="D14" s="11">
        <f t="shared" si="3"/>
        <v>43555</v>
      </c>
      <c r="E14" s="11">
        <f t="shared" si="4"/>
        <v>43558</v>
      </c>
      <c r="F14" s="11">
        <f t="shared" si="5"/>
        <v>43565</v>
      </c>
      <c r="G14" s="18">
        <f t="shared" si="6"/>
        <v>43565</v>
      </c>
      <c r="H14" s="29" t="s">
        <v>30</v>
      </c>
      <c r="I14" s="30" t="s">
        <v>30</v>
      </c>
      <c r="J14" s="30" t="s">
        <v>30</v>
      </c>
      <c r="K14" s="30" t="s">
        <v>30</v>
      </c>
      <c r="L14" s="30" t="s">
        <v>30</v>
      </c>
      <c r="M14" s="31" t="s">
        <v>30</v>
      </c>
      <c r="N14" s="20">
        <f t="shared" si="7"/>
        <v>43572</v>
      </c>
      <c r="O14" s="11">
        <f t="shared" si="8"/>
        <v>43572</v>
      </c>
    </row>
  </sheetData>
  <mergeCells count="2">
    <mergeCell ref="F1:G1"/>
    <mergeCell ref="N1:O1"/>
  </mergeCells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 Production View</vt:lpstr>
      <vt:lpstr>Encounter Data Submission View</vt:lpstr>
    </vt:vector>
  </TitlesOfParts>
  <Company>EOHHS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Dominguez, Irving (EHS)</dc:creator>
  <cp:lastModifiedBy>Dominguez, Irving (EHS)</cp:lastModifiedBy>
  <cp:lastPrinted>2018-08-01T17:14:39Z</cp:lastPrinted>
  <dcterms:created xsi:type="dcterms:W3CDTF">2018-08-01T15:31:49Z</dcterms:created>
  <dcterms:modified xsi:type="dcterms:W3CDTF">2018-08-01T17:14:49Z</dcterms:modified>
</cp:coreProperties>
</file>