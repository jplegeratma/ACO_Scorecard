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Leger\ExcelDataFolder\"/>
    </mc:Choice>
  </mc:AlternateContent>
  <xr:revisionPtr revIDLastSave="0" documentId="13_ncr:1_{8A779135-B1D5-4A72-AC65-08EC220DB5B1}" xr6:coauthVersionLast="36" xr6:coauthVersionMax="36" xr10:uidLastSave="{00000000-0000-0000-0000-000000000000}"/>
  <bookViews>
    <workbookView xWindow="0" yWindow="0" windowWidth="20940" windowHeight="7545" xr2:uid="{00000000-000D-0000-FFFF-FFFF00000000}"/>
  </bookViews>
  <sheets>
    <sheet name="Cover" sheetId="23" r:id="rId1"/>
    <sheet name="Summary" sheetId="38" r:id="rId2"/>
    <sheet name="Timeliness" sheetId="35" r:id="rId3"/>
    <sheet name="Completeness" sheetId="9" r:id="rId4"/>
    <sheet name="Failure Claims Listing" sheetId="40" r:id="rId5"/>
    <sheet name="Appendix A" sheetId="29" r:id="rId6"/>
    <sheet name="Appendix B" sheetId="30" r:id="rId7"/>
    <sheet name="DATA_DOWNLOADS" sheetId="39" state="hidden" r:id="rId8"/>
  </sheets>
  <definedNames>
    <definedName name="_13APR18" localSheetId="0">#REF!</definedName>
    <definedName name="_13APR18" localSheetId="1">#REF!</definedName>
    <definedName name="_13APR18" localSheetId="2">#REF!</definedName>
    <definedName name="_13APR18">#REF!</definedName>
    <definedName name="_13MAR18" localSheetId="1">#REF!</definedName>
    <definedName name="_13MAR18" localSheetId="2">#REF!</definedName>
    <definedName name="_13MAR18">#REF!</definedName>
    <definedName name="_16MAR18" localSheetId="1">#REF!</definedName>
    <definedName name="_16MAR18" localSheetId="2">#REF!</definedName>
    <definedName name="_16MAR18">#REF!</definedName>
    <definedName name="asdasdsad">#REF!</definedName>
    <definedName name="asdsd" localSheetId="1">#REF!</definedName>
    <definedName name="asdsd">#REF!</definedName>
    <definedName name="BENCHMARK_DATA">Completeness!$B$10:$AF$110</definedName>
    <definedName name="DATA1_CLM_ACT_HDRS">DATA_DOWNLOADS!$B$1:$Y$1</definedName>
    <definedName name="DATA2_PLAN_ACO">DATA_DOWNLOADS!$B$2:$C$2</definedName>
    <definedName name="DATA3_MISS_DATA">DATA_DOWNLOADS!$B$3:$Q$3</definedName>
    <definedName name="DATA4_DATE_STRINGS">DATA_DOWNLOADS!$B$4:$F$4</definedName>
    <definedName name="DATA5_TIMELINESS_COUNTS">DATA_DOWNLOADS!$B$5:$O$5</definedName>
    <definedName name="DATA6_ACO_NAMES">DATA_DOWNLOADS!$B$6:$E$6</definedName>
    <definedName name="DATA7_BENCHMARK_COUNT">DATA_DOWNLOADS!$B$7:$C$7</definedName>
    <definedName name="DATA8_TIMELINESS_STRINGS">DATA_DOWNLOADS!$B$8:$K$8</definedName>
    <definedName name="FAILS_DATA">'Failure Claims Listing'!$B$11:$S$1010</definedName>
    <definedName name="_xlnm.Print_Area" localSheetId="3">Completeness!$A$1:$AG$112</definedName>
    <definedName name="_xlnm.Print_Area" localSheetId="0">Cover!$B$1:$M$34</definedName>
    <definedName name="_xlnm.Print_Area" localSheetId="1">Summary!$B$2:$N$43</definedName>
    <definedName name="_xlnm.Print_Area" localSheetId="2">Timeliness!$A$1:$M$105</definedName>
    <definedName name="_xlnm.Print_Titles" localSheetId="3">Completeness!$B:$H,Completeness!$2:$9</definedName>
    <definedName name="sad" localSheetId="1">#REF!</definedName>
    <definedName name="sad">#REF!</definedName>
    <definedName name="TIMELINESS">Timeliness!$C$10:$I$99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8" i="40" l="1"/>
  <c r="C6" i="40"/>
  <c r="D4" i="40"/>
  <c r="C4" i="40"/>
  <c r="F2" i="9" l="1"/>
  <c r="F3" i="35"/>
  <c r="D4" i="38"/>
  <c r="D2" i="39"/>
  <c r="C4" i="38" l="1"/>
  <c r="C32" i="38" l="1"/>
  <c r="C33" i="38"/>
  <c r="C34" i="38"/>
  <c r="C35" i="38"/>
  <c r="C36" i="38"/>
  <c r="C37" i="38"/>
  <c r="D32" i="38"/>
  <c r="D33" i="38"/>
  <c r="D34" i="38"/>
  <c r="D35" i="38"/>
  <c r="D36" i="38"/>
  <c r="D37" i="38"/>
  <c r="K34" i="38" l="1"/>
  <c r="K33" i="38"/>
  <c r="K32" i="38"/>
  <c r="K31" i="38"/>
  <c r="J34" i="38"/>
  <c r="J33" i="38"/>
  <c r="J32" i="38"/>
  <c r="J31" i="38"/>
  <c r="J30" i="38"/>
  <c r="C25" i="38"/>
  <c r="C21" i="38"/>
  <c r="C17" i="38"/>
  <c r="C13" i="38"/>
  <c r="C24" i="38"/>
  <c r="C20" i="38"/>
  <c r="C16" i="38"/>
  <c r="C12" i="38"/>
  <c r="C6" i="23"/>
  <c r="C5" i="23"/>
  <c r="B4" i="23"/>
  <c r="B3" i="23" l="1"/>
  <c r="C8" i="38"/>
  <c r="I34" i="38" l="1"/>
  <c r="I33" i="38"/>
  <c r="I32" i="38"/>
  <c r="I31" i="38"/>
  <c r="C7" i="23"/>
  <c r="D4" i="35" l="1"/>
  <c r="C6" i="38" l="1"/>
  <c r="H8" i="35"/>
  <c r="E3" i="35"/>
  <c r="AF7" i="9" l="1"/>
  <c r="AE7" i="9"/>
  <c r="AD7" i="9"/>
  <c r="AC7" i="9"/>
  <c r="Z7" i="9"/>
  <c r="Y7" i="9"/>
  <c r="X7" i="9"/>
  <c r="W7" i="9"/>
  <c r="T7" i="9"/>
  <c r="S7" i="9"/>
  <c r="R7" i="9"/>
  <c r="Q7" i="9"/>
  <c r="N7" i="9"/>
  <c r="M7" i="9"/>
  <c r="L7" i="9"/>
  <c r="K7" i="9"/>
  <c r="D8" i="9" l="1"/>
  <c r="E2" i="9" l="1"/>
  <c r="AB4" i="9"/>
  <c r="V4" i="9"/>
  <c r="R4" i="9"/>
  <c r="L4" i="9"/>
  <c r="AF6" i="9"/>
  <c r="AE6" i="9"/>
  <c r="AD6" i="9"/>
  <c r="AC6" i="9"/>
  <c r="Z6" i="9"/>
  <c r="Y6" i="9"/>
  <c r="X6" i="9"/>
  <c r="W6" i="9"/>
  <c r="T6" i="9"/>
  <c r="S6" i="9"/>
  <c r="R6" i="9"/>
  <c r="Q6" i="9"/>
  <c r="N6" i="9"/>
  <c r="M6" i="9"/>
  <c r="L6" i="9"/>
  <c r="K6" i="9"/>
  <c r="C3" i="9" l="1"/>
</calcChain>
</file>

<file path=xl/sharedStrings.xml><?xml version="1.0" encoding="utf-8"?>
<sst xmlns="http://schemas.openxmlformats.org/spreadsheetml/2006/main" count="248" uniqueCount="207">
  <si>
    <t>Measure</t>
  </si>
  <si>
    <t>Claim Type</t>
  </si>
  <si>
    <t>Professional</t>
  </si>
  <si>
    <t>ID</t>
  </si>
  <si>
    <t>Field ID</t>
  </si>
  <si>
    <t>From Service Date</t>
  </si>
  <si>
    <t>To Service Date</t>
  </si>
  <si>
    <t>Servicing Provider ID</t>
  </si>
  <si>
    <t>Servicing Provider ID Type</t>
  </si>
  <si>
    <t>Servicing Provider Type</t>
  </si>
  <si>
    <t>Billing Provider ID</t>
  </si>
  <si>
    <t>Billing Provider ID Type</t>
  </si>
  <si>
    <t>Prescribing Prov. ID</t>
  </si>
  <si>
    <t>Prescribing Prov. ID Type</t>
  </si>
  <si>
    <t>Primary Diagnosis</t>
  </si>
  <si>
    <t>ICD Version Qualifier</t>
  </si>
  <si>
    <t>Procedure Code Prof_M</t>
  </si>
  <si>
    <t>Quantity</t>
  </si>
  <si>
    <t>Service Category</t>
  </si>
  <si>
    <t>Date Script Written</t>
  </si>
  <si>
    <t>Refill Indicator</t>
  </si>
  <si>
    <t>Prescription Number</t>
  </si>
  <si>
    <t>Dispensing Fee</t>
  </si>
  <si>
    <t>NDC Number</t>
  </si>
  <si>
    <t>Claim Category</t>
  </si>
  <si>
    <t>Record Indicator</t>
  </si>
  <si>
    <t>Allowable Amount</t>
  </si>
  <si>
    <t>Admission Date</t>
  </si>
  <si>
    <t>Discharge Date</t>
  </si>
  <si>
    <t>Admitting Diagnosis</t>
  </si>
  <si>
    <t>Patient Discharge Status</t>
  </si>
  <si>
    <t>Type of Admission</t>
  </si>
  <si>
    <t>Source of Admission</t>
  </si>
  <si>
    <t>Revenue Code</t>
  </si>
  <si>
    <t>Place of Service</t>
  </si>
  <si>
    <t>Billing Provider NPI</t>
  </si>
  <si>
    <t>Scorecard Submission Month</t>
  </si>
  <si>
    <t>Date of Report:</t>
  </si>
  <si>
    <t>Months of Service Contained:</t>
  </si>
  <si>
    <t>MCO/ACPP Encounter Data Scorecard</t>
  </si>
  <si>
    <t>File Month of Service</t>
  </si>
  <si>
    <t>Benchmarks Missed:</t>
  </si>
  <si>
    <t># of Claims</t>
  </si>
  <si>
    <t>Performance</t>
  </si>
  <si>
    <t>Benchmark Threshold</t>
  </si>
  <si>
    <t xml:space="preserve">  </t>
  </si>
  <si>
    <t xml:space="preserve">      </t>
  </si>
  <si>
    <t xml:space="preserve">   </t>
  </si>
  <si>
    <t xml:space="preserve">    </t>
  </si>
  <si>
    <t>Notes</t>
  </si>
  <si>
    <t>As Percentage</t>
  </si>
  <si>
    <t>Month of Service</t>
  </si>
  <si>
    <t>Completeness</t>
  </si>
  <si>
    <t>Timeliness</t>
  </si>
  <si>
    <t>Table of Contents</t>
  </si>
  <si>
    <t>Description</t>
  </si>
  <si>
    <t>Summary</t>
  </si>
  <si>
    <t>Summary of performance</t>
  </si>
  <si>
    <t>Pending Risks</t>
  </si>
  <si>
    <t xml:space="preserve">The results in this table will not count towards your performance </t>
  </si>
  <si>
    <t>ACPP:</t>
  </si>
  <si>
    <t>MCO:</t>
  </si>
  <si>
    <t>Benchmark</t>
  </si>
  <si>
    <t>Benchmark Name (Technical)</t>
  </si>
  <si>
    <t>See text at bottom for explanation of key terms</t>
  </si>
  <si>
    <t xml:space="preserve">Contract Manager(s): </t>
  </si>
  <si>
    <t xml:space="preserve">Month(s) of Service: </t>
  </si>
  <si>
    <t>Definition</t>
  </si>
  <si>
    <t>Field is not blank</t>
  </si>
  <si>
    <t>For inpatient and long term care claims (claim types I and L), field is not blank and is less than or equal to discharge date UNLESS discharge date is blank</t>
  </si>
  <si>
    <t>For inpatient and long term care claims (claim types I and L), field is not blank and is equal to a value between 1-9 or A-F</t>
  </si>
  <si>
    <t>For inpatient and long term care claims (claim types I and L), field is not blank and is equal to a value between 1-9</t>
  </si>
  <si>
    <t>Field is not blank and is greater than or equal to 0</t>
  </si>
  <si>
    <t>Billed Amount</t>
  </si>
  <si>
    <t>Net Amount Paid</t>
  </si>
  <si>
    <t>Field is not blank or '0', for non-bundled claims (record Indicator &lt;&gt; 0) and non- pharmacy or dental claims</t>
  </si>
  <si>
    <t>Field is not blank and first digit in the field is a 1, 6, or 9 (NPI, Internal ID, or NABP number)</t>
  </si>
  <si>
    <t>Field is not blank and first digit is between 1-7</t>
  </si>
  <si>
    <t>For inpatient claims (claim type I) when Type of Bill NOT equal 12, 22, 42, 62, 81, or 82 and field is not blank</t>
  </si>
  <si>
    <t>For inpatient claims (claim type I) when Type of Bill does NOT equal 21 and Patient Status is NOT between 30-39 (still a patient), field is not blank and is greater than or equal to the admission date</t>
  </si>
  <si>
    <t>Dispense As Written</t>
  </si>
  <si>
    <t>For pharmacy (claim type P), prescription drug (drug class = F) claims, field is between 1-9</t>
  </si>
  <si>
    <t>For pharmacy (claim type P), prescription drug (drug class = F) claims, field is not blank</t>
  </si>
  <si>
    <t>For non-bundled (record indicator &lt;&gt; 0) inpatient, professional, outpatient, and LTC claims (claim types I, M, O, and L), field is not blank and is equal to 9 or 10</t>
  </si>
  <si>
    <t>Member ID</t>
  </si>
  <si>
    <t>Field is not blank and first digit in the field is a 1</t>
  </si>
  <si>
    <t>For pharmacy (claim type P), prescription drug (drug class = F) claims,  not compounded drugs, and field is not blank</t>
  </si>
  <si>
    <t>For inpatient and outpatient claims (claim types I and O), field is not blank</t>
  </si>
  <si>
    <t xml:space="preserve">For all claim types EXCEPT dental and pharmacy (claim types not equal to D or P), field is not blank and the first and second digits are both between 0-9 for the POS field or between 0-9 for the TOB field
</t>
  </si>
  <si>
    <t>Place of Service Type (aka Type of Bill)</t>
  </si>
  <si>
    <t>For all claim types EXCEPT dental and pharmacy (claim types not equal to D or P). If claim category is 2, 3, 4, or 5 and the first and second digits are both between 0-9 for the POS field or  if claim category is 1 or 6 and the first and second digits are between 0-9 for the TOB field</t>
  </si>
  <si>
    <t>For pharmacy (claim type P), prescription drug (drug class = F) claims, field is not blank and first digit in the field is a 1, 6, or 8 (NPI, Internal ID, or DEA number)</t>
  </si>
  <si>
    <t>For non-bundled (record indicator &lt;&gt; 0) inpatient, professional, outpatient, and LTC claims (claim types I, M, O, and L), field is not blank</t>
  </si>
  <si>
    <t>For non-bundled (record indicator &lt;&gt; 0) professional claims (claim type M), field is not blank</t>
  </si>
  <si>
    <t>For non-pharmacy claims, field is not blank</t>
  </si>
  <si>
    <t>Field is not blank and first digit is between 0-7</t>
  </si>
  <si>
    <t>For pharmacy (claim type P), prescription drug (drug class = F) claims, field is not blank and is greater than or equal to zero</t>
  </si>
  <si>
    <t xml:space="preserve">For non-bundled (record indicator &lt;&gt; 0), inpatient, outpatient, and long term care claims (claim types I, O, and L), field is not blank or equal to zero </t>
  </si>
  <si>
    <t>Servicing Provider NPI</t>
  </si>
  <si>
    <t>Facility (except LTC) - Inpatient</t>
  </si>
  <si>
    <t>I</t>
  </si>
  <si>
    <t>Facility (except LTC) - Outpatient</t>
  </si>
  <si>
    <t>O</t>
  </si>
  <si>
    <t>M</t>
  </si>
  <si>
    <t>Dental</t>
  </si>
  <si>
    <t>D</t>
  </si>
  <si>
    <t>Vision</t>
  </si>
  <si>
    <t>Prescription Drug</t>
  </si>
  <si>
    <t>P</t>
  </si>
  <si>
    <t>LTC (Nursing Home, Chronic Care and Rehab)</t>
  </si>
  <si>
    <t>L</t>
  </si>
  <si>
    <t>List B: Select Revenue codes</t>
  </si>
  <si>
    <t>250 - GENERAL PHARMACY</t>
  </si>
  <si>
    <t>251 - GENERIC DRUGS</t>
  </si>
  <si>
    <t>252 - NON GENERIC DRUGS</t>
  </si>
  <si>
    <t>253 - TAKE HOME DRUGS</t>
  </si>
  <si>
    <t>254 - DRUGS INCIDENT TO OTHER DIAGNOSTIC SERVICES</t>
  </si>
  <si>
    <t>255 - DRUGS INCIDENT TO RADIOLOGY</t>
  </si>
  <si>
    <t>256 - EXPERIMENTAL DRUGS</t>
  </si>
  <si>
    <t>257 - NONPRESCRIPTION DRUGS</t>
  </si>
  <si>
    <t>258 - IV SOLUTIONS</t>
  </si>
  <si>
    <t>259 - OTHER PHARMACY</t>
  </si>
  <si>
    <t>260 - IV THERAPY GENERAL</t>
  </si>
  <si>
    <t>262 - IV THERAPY/PHARMACY SERVICES (IV/THER/PHARM/SVC)</t>
  </si>
  <si>
    <t>263 - IV THERAPY/DRUG/SUPPLY DELIVERY(IV/THER/SUPP DELV)</t>
  </si>
  <si>
    <t>264 - IV THERAPY / SUPPLIES (IV/THER/SUPP/IV)</t>
  </si>
  <si>
    <t>269 - IV THERAPY - OTHER</t>
  </si>
  <si>
    <t>270 - MED SURG SUPPLIES DEVICES GENERAL</t>
  </si>
  <si>
    <t>271 - NON STERILE SUPPLY</t>
  </si>
  <si>
    <t>272 - STERILE SUPPLY</t>
  </si>
  <si>
    <t>273 - TAKE HOME SUPPLIES</t>
  </si>
  <si>
    <t>274 - PROSTHETIC/ORTHOTIC DEVICES</t>
  </si>
  <si>
    <t>275 - PACEMAKER</t>
  </si>
  <si>
    <t>276 - INTRAOCULAR LENS</t>
  </si>
  <si>
    <t>277 - OXYGEN TAKE HOME</t>
  </si>
  <si>
    <t>278 - OTHER IMPLANTS</t>
  </si>
  <si>
    <t>279 - OTHER SUPPLIES DEVICES</t>
  </si>
  <si>
    <t>370 - ANESTHESIA GENERAL</t>
  </si>
  <si>
    <t>371 - ANESTHESIA INCIDENT TO RADIOLOGY</t>
  </si>
  <si>
    <t>372 - ANESTHESIA INCIDENT TO OTHER DIAGNOSTIC SERVICES</t>
  </si>
  <si>
    <t>374 - ANESTHESIA ACUPUNCTURE</t>
  </si>
  <si>
    <t>379 - ANESTHESIA OTHER</t>
  </si>
  <si>
    <t>710 - RECOVERY ROOM GENERAL</t>
  </si>
  <si>
    <t>839 - HOME DIALYSIS OTHER 100 PERCENT</t>
  </si>
  <si>
    <t>902 - MILIEU THERAPY</t>
  </si>
  <si>
    <t>946 - COMPLEX MEDICAL EQUIPMENT ROUTINE</t>
  </si>
  <si>
    <t>947 - COMPLEX MEDICAL EQUIPMENT ANCILLARY</t>
  </si>
  <si>
    <t>961 - PROFESSIONAL FEES PSYCHIATRIC</t>
  </si>
  <si>
    <t>962 - PROFESSIONAL FEES OPTHALMOLOGY</t>
  </si>
  <si>
    <t>963 - PROFESSIONAL FEES ANESTHESIOLOGIST</t>
  </si>
  <si>
    <t>973 - PRO FEE RAD/RX</t>
  </si>
  <si>
    <t>974 - PRO FEE NUC MED</t>
  </si>
  <si>
    <t>975 - PRO FEE OR</t>
  </si>
  <si>
    <t>981 - PROFESSIONAL FEE - EMERGENCY ROOM</t>
  </si>
  <si>
    <t>982 - PRO FEE OPD</t>
  </si>
  <si>
    <t>983 - PRO FEE CLINIC</t>
  </si>
  <si>
    <t>988 - PRO FEE CONSULTATION</t>
  </si>
  <si>
    <t>Note: All scorecard calculations exclude void and offset claims.</t>
  </si>
  <si>
    <t>Data generated on:</t>
  </si>
  <si>
    <t>Detailed 4 month view of file submissions and their adherence to timeliness standards</t>
  </si>
  <si>
    <t>Detailed 4 month view of data field completion rates as scored by specified measures</t>
  </si>
  <si>
    <t>Performance Manager(s):</t>
  </si>
  <si>
    <t>Appendix A</t>
  </si>
  <si>
    <t>Benchmark completion definitions</t>
  </si>
  <si>
    <t>Appendix B</t>
  </si>
  <si>
    <t>Claim type definitions and select revenue codes</t>
  </si>
  <si>
    <t>File Name</t>
  </si>
  <si>
    <t>Manual Override</t>
  </si>
  <si>
    <t>Amendment</t>
  </si>
  <si>
    <t>Completeness Benchmarks Missed</t>
  </si>
  <si>
    <t>Data sourced as of:</t>
  </si>
  <si>
    <t>Last 6 rolling months</t>
  </si>
  <si>
    <t>Files Loaded and Processed</t>
  </si>
  <si>
    <t>Zip File Created</t>
  </si>
  <si>
    <t>Metadata Date Created</t>
  </si>
  <si>
    <t>Successfully loaded files submitted for last 6 months</t>
  </si>
  <si>
    <t># of Files Loaded:</t>
  </si>
  <si>
    <t>Date File Processed</t>
  </si>
  <si>
    <t>Month File Created</t>
  </si>
  <si>
    <t/>
  </si>
  <si>
    <t>Note: DWI responsible for processing full data scorecard as of January 2019</t>
  </si>
  <si>
    <t xml:space="preserve">  Note: If benchmark score is within 0.5% of threshold, score rounded up to threshold. </t>
  </si>
  <si>
    <t>Claim Number</t>
  </si>
  <si>
    <t>Claim Suffix</t>
  </si>
  <si>
    <t>Claim Disposition</t>
  </si>
  <si>
    <t>ETL Check</t>
  </si>
  <si>
    <t>Validation Category 1</t>
  </si>
  <si>
    <t>Validation Category 2</t>
  </si>
  <si>
    <t>Validation Category 3</t>
  </si>
  <si>
    <t>Validation Category 4</t>
  </si>
  <si>
    <t>Validation Value 1</t>
  </si>
  <si>
    <t>Validation Value 2</t>
  </si>
  <si>
    <t>Validation Value 3</t>
  </si>
  <si>
    <t>Validation Value 4</t>
  </si>
  <si>
    <t>Validation Value 5</t>
  </si>
  <si>
    <t>Validation Category 5</t>
  </si>
  <si>
    <t>MCO/ACPP Encounter Data Scorecard Sample Failure Claims Listing</t>
  </si>
  <si>
    <t>Sample failure claims listing for data fields not meeting benchmark threshold</t>
  </si>
  <si>
    <t>Failure Claims Listing</t>
  </si>
  <si>
    <t>DATA2_PLAN_ACO</t>
  </si>
  <si>
    <t>DATA1_CLM_ACT_HDRS</t>
  </si>
  <si>
    <t>DATA3_MISS_DATA</t>
  </si>
  <si>
    <t>DATA4_DATE_STRINGS</t>
  </si>
  <si>
    <t>DATA5_TIMELINESS_COUNTS</t>
  </si>
  <si>
    <t>DATA6_ACO_NAMES</t>
  </si>
  <si>
    <t>DATA7_BENCHMARK_COUNT</t>
  </si>
  <si>
    <t>DATA8_TIMELINESS_STRINGS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</si>
</sst>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mmmm\-yyyy;@"/>
    <numFmt numFmtId="165" formatCode="m/d;@"/>
    <numFmt numFmtId="166" formatCode="[$-409]mmm\-dd\-yyyy;@"/>
    <numFmt numFmtId="167" formatCode="[$-409]yyyy\-mm;@"/>
    <numFmt numFmtId="168" formatCode="[$-409]mmmm\ yyyy;@"/>
    <numFmt numFmtId="169" formatCode="mmmm\ yyyy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MS Sans Serif"/>
      <family val="2"/>
    </font>
    <font>
      <b/>
      <sz val="11"/>
      <name val="Calibri"/>
      <family val="2"/>
      <scheme val="minor"/>
    </font>
    <font>
      <u/>
      <sz val="10"/>
      <color indexed="12"/>
      <name val="MS Sans Serif"/>
      <family val="2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0CECE"/>
        <bgColor rgb="FF000000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1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165" fontId="0" fillId="0" borderId="0" xfId="0" applyNumberFormat="1"/>
    <xf numFmtId="0" fontId="0" fillId="0" borderId="0" xfId="0" applyNumberFormat="1" applyFill="1" applyBorder="1" applyAlignment="1">
      <alignment vertical="center"/>
    </xf>
    <xf numFmtId="0" fontId="0" fillId="0" borderId="0" xfId="0" applyFill="1"/>
    <xf numFmtId="0" fontId="2" fillId="0" borderId="0" xfId="0" applyFont="1"/>
    <xf numFmtId="0" fontId="0" fillId="0" borderId="0" xfId="0" applyBorder="1"/>
    <xf numFmtId="0" fontId="0" fillId="0" borderId="3" xfId="0" applyBorder="1"/>
    <xf numFmtId="0" fontId="0" fillId="0" borderId="9" xfId="0" applyBorder="1"/>
    <xf numFmtId="0" fontId="0" fillId="0" borderId="6" xfId="0" applyBorder="1"/>
    <xf numFmtId="167" fontId="0" fillId="0" borderId="0" xfId="0" applyNumberForma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right" vertical="center" wrapText="1"/>
    </xf>
    <xf numFmtId="10" fontId="0" fillId="0" borderId="0" xfId="0" applyNumberFormat="1" applyFill="1" applyBorder="1" applyAlignment="1">
      <alignment horizontal="right" vertical="center"/>
    </xf>
    <xf numFmtId="0" fontId="0" fillId="0" borderId="0" xfId="0" applyNumberFormat="1" applyFill="1" applyBorder="1" applyAlignment="1">
      <alignment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0" fillId="0" borderId="0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 wrapText="1"/>
    </xf>
    <xf numFmtId="0" fontId="1" fillId="0" borderId="0" xfId="0" applyFont="1" applyFill="1" applyBorder="1"/>
    <xf numFmtId="164" fontId="2" fillId="0" borderId="0" xfId="0" applyNumberFormat="1" applyFont="1" applyFill="1" applyBorder="1" applyAlignment="1">
      <alignment horizontal="left" vertical="center"/>
    </xf>
    <xf numFmtId="167" fontId="0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" fillId="3" borderId="0" xfId="0" applyFont="1" applyFill="1" applyBorder="1" applyAlignment="1">
      <alignment horizontal="center" vertical="center"/>
    </xf>
    <xf numFmtId="167" fontId="1" fillId="0" borderId="0" xfId="0" applyNumberFormat="1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0" fontId="0" fillId="0" borderId="10" xfId="0" applyFill="1" applyBorder="1" applyAlignment="1">
      <alignment horizontal="center" vertical="center"/>
    </xf>
    <xf numFmtId="9" fontId="2" fillId="3" borderId="10" xfId="0" applyNumberFormat="1" applyFont="1" applyFill="1" applyBorder="1" applyAlignment="1">
      <alignment vertical="center"/>
    </xf>
    <xf numFmtId="0" fontId="5" fillId="0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9" fontId="2" fillId="3" borderId="11" xfId="0" applyNumberFormat="1" applyFont="1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9" fontId="2" fillId="3" borderId="12" xfId="0" applyNumberFormat="1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right" vertical="center"/>
    </xf>
    <xf numFmtId="0" fontId="0" fillId="0" borderId="8" xfId="0" applyBorder="1"/>
    <xf numFmtId="0" fontId="0" fillId="0" borderId="7" xfId="0" applyBorder="1"/>
    <xf numFmtId="0" fontId="0" fillId="0" borderId="2" xfId="0" applyBorder="1"/>
    <xf numFmtId="0" fontId="0" fillId="0" borderId="5" xfId="0" applyBorder="1"/>
    <xf numFmtId="0" fontId="0" fillId="0" borderId="4" xfId="0" applyBorder="1"/>
    <xf numFmtId="0" fontId="0" fillId="0" borderId="0" xfId="0" applyFont="1" applyFill="1" applyBorder="1" applyAlignment="1">
      <alignment vertical="center" wrapText="1"/>
    </xf>
    <xf numFmtId="168" fontId="0" fillId="0" borderId="0" xfId="0" applyNumberFormat="1" applyFont="1" applyFill="1" applyBorder="1" applyAlignment="1">
      <alignment horizontal="left"/>
    </xf>
    <xf numFmtId="0" fontId="1" fillId="5" borderId="0" xfId="0" applyFont="1" applyFill="1" applyBorder="1" applyAlignment="1">
      <alignment horizontal="right" vertical="center" wrapText="1"/>
    </xf>
    <xf numFmtId="0" fontId="0" fillId="5" borderId="0" xfId="0" applyFill="1" applyBorder="1" applyAlignment="1">
      <alignment vertical="center"/>
    </xf>
    <xf numFmtId="0" fontId="1" fillId="5" borderId="0" xfId="0" applyFont="1" applyFill="1" applyBorder="1" applyAlignment="1">
      <alignment horizontal="center" vertical="center"/>
    </xf>
    <xf numFmtId="10" fontId="0" fillId="0" borderId="10" xfId="0" applyNumberFormat="1" applyFill="1" applyBorder="1" applyAlignment="1">
      <alignment horizontal="center" vertical="center"/>
    </xf>
    <xf numFmtId="0" fontId="0" fillId="5" borderId="0" xfId="0" applyFill="1" applyBorder="1"/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vertical="center"/>
    </xf>
    <xf numFmtId="164" fontId="2" fillId="0" borderId="0" xfId="0" applyNumberFormat="1" applyFont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4" xfId="0" applyBorder="1" applyAlignment="1">
      <alignment vertical="center"/>
    </xf>
    <xf numFmtId="168" fontId="0" fillId="0" borderId="0" xfId="0" applyNumberFormat="1" applyFont="1" applyBorder="1" applyAlignment="1">
      <alignment horizontal="left"/>
    </xf>
    <xf numFmtId="0" fontId="10" fillId="0" borderId="0" xfId="0" applyFont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8" fillId="4" borderId="14" xfId="0" applyFont="1" applyFill="1" applyBorder="1"/>
    <xf numFmtId="0" fontId="0" fillId="4" borderId="15" xfId="0" applyFill="1" applyBorder="1"/>
    <xf numFmtId="0" fontId="0" fillId="4" borderId="16" xfId="0" applyFill="1" applyBorder="1"/>
    <xf numFmtId="0" fontId="0" fillId="0" borderId="17" xfId="0" applyFill="1" applyBorder="1"/>
    <xf numFmtId="0" fontId="0" fillId="0" borderId="17" xfId="0" applyBorder="1"/>
    <xf numFmtId="168" fontId="0" fillId="0" borderId="17" xfId="0" applyNumberFormat="1" applyFont="1" applyBorder="1"/>
    <xf numFmtId="168" fontId="0" fillId="0" borderId="19" xfId="0" applyNumberFormat="1" applyFont="1" applyBorder="1"/>
    <xf numFmtId="168" fontId="8" fillId="6" borderId="14" xfId="0" applyNumberFormat="1" applyFont="1" applyFill="1" applyBorder="1" applyAlignment="1">
      <alignment horizontal="left" vertical="center"/>
    </xf>
    <xf numFmtId="0" fontId="0" fillId="6" borderId="15" xfId="0" applyFill="1" applyBorder="1"/>
    <xf numFmtId="0" fontId="0" fillId="6" borderId="16" xfId="0" applyFill="1" applyBorder="1"/>
    <xf numFmtId="0" fontId="1" fillId="5" borderId="17" xfId="0" applyFont="1" applyFill="1" applyBorder="1"/>
    <xf numFmtId="0" fontId="0" fillId="5" borderId="18" xfId="0" applyFill="1" applyBorder="1"/>
    <xf numFmtId="0" fontId="0" fillId="0" borderId="17" xfId="0" applyFont="1" applyFill="1" applyBorder="1"/>
    <xf numFmtId="0" fontId="0" fillId="0" borderId="18" xfId="0" applyFill="1" applyBorder="1"/>
    <xf numFmtId="0" fontId="10" fillId="0" borderId="0" xfId="0" applyFont="1" applyBorder="1" applyAlignment="1">
      <alignment wrapText="1"/>
    </xf>
    <xf numFmtId="3" fontId="0" fillId="2" borderId="10" xfId="0" applyNumberFormat="1" applyFill="1" applyBorder="1" applyAlignment="1">
      <alignment horizontal="center" vertical="center"/>
    </xf>
    <xf numFmtId="167" fontId="0" fillId="3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164" fontId="2" fillId="0" borderId="0" xfId="0" applyNumberFormat="1" applyFont="1" applyFill="1" applyBorder="1" applyAlignment="1">
      <alignment horizontal="left"/>
    </xf>
    <xf numFmtId="10" fontId="1" fillId="0" borderId="0" xfId="0" applyNumberFormat="1" applyFont="1" applyFill="1" applyBorder="1" applyAlignment="1"/>
    <xf numFmtId="0" fontId="0" fillId="0" borderId="0" xfId="0" applyFill="1" applyBorder="1" applyAlignment="1"/>
    <xf numFmtId="0" fontId="0" fillId="0" borderId="0" xfId="0" applyNumberFormat="1" applyFill="1" applyBorder="1" applyAlignment="1"/>
    <xf numFmtId="0" fontId="1" fillId="0" borderId="0" xfId="0" applyFont="1" applyBorder="1" applyAlignment="1"/>
    <xf numFmtId="0" fontId="0" fillId="0" borderId="0" xfId="0" applyBorder="1" applyAlignment="1"/>
    <xf numFmtId="166" fontId="1" fillId="0" borderId="13" xfId="0" applyNumberFormat="1" applyFont="1" applyBorder="1" applyAlignment="1">
      <alignment horizontal="left" vertical="center"/>
    </xf>
    <xf numFmtId="0" fontId="1" fillId="0" borderId="13" xfId="0" applyFont="1" applyBorder="1" applyAlignment="1">
      <alignment vertical="center"/>
    </xf>
    <xf numFmtId="14" fontId="0" fillId="0" borderId="0" xfId="0" applyNumberFormat="1" applyFont="1" applyAlignment="1">
      <alignment horizontal="left" vertical="center"/>
    </xf>
    <xf numFmtId="167" fontId="1" fillId="0" borderId="0" xfId="0" applyNumberFormat="1" applyFont="1" applyAlignment="1">
      <alignment horizontal="left" vertical="center"/>
    </xf>
    <xf numFmtId="167" fontId="0" fillId="0" borderId="0" xfId="0" applyNumberFormat="1" applyFont="1" applyAlignment="1">
      <alignment horizontal="left" vertical="center"/>
    </xf>
    <xf numFmtId="165" fontId="0" fillId="0" borderId="0" xfId="0" applyNumberFormat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11" fillId="0" borderId="0" xfId="1" applyFont="1"/>
    <xf numFmtId="0" fontId="12" fillId="0" borderId="0" xfId="1" applyFont="1" applyFill="1" applyBorder="1"/>
    <xf numFmtId="0" fontId="3" fillId="0" borderId="0" xfId="1" applyFont="1" applyFill="1" applyBorder="1" applyAlignment="1">
      <alignment horizontal="left" wrapText="1"/>
    </xf>
    <xf numFmtId="0" fontId="5" fillId="7" borderId="1" xfId="1" applyFont="1" applyFill="1" applyBorder="1" applyAlignment="1">
      <alignment horizontal="left"/>
    </xf>
    <xf numFmtId="0" fontId="5" fillId="7" borderId="1" xfId="1" applyFont="1" applyFill="1" applyBorder="1" applyAlignment="1">
      <alignment horizontal="left" wrapText="1"/>
    </xf>
    <xf numFmtId="0" fontId="3" fillId="0" borderId="1" xfId="1" applyFont="1" applyFill="1" applyBorder="1"/>
    <xf numFmtId="10" fontId="3" fillId="0" borderId="1" xfId="1" applyNumberFormat="1" applyFont="1" applyFill="1" applyBorder="1" applyAlignment="1">
      <alignment horizontal="left" wrapText="1"/>
    </xf>
    <xf numFmtId="0" fontId="11" fillId="0" borderId="0" xfId="1" applyFont="1" applyAlignment="1">
      <alignment horizontal="left"/>
    </xf>
    <xf numFmtId="0" fontId="11" fillId="0" borderId="1" xfId="1" applyFont="1" applyBorder="1" applyAlignment="1">
      <alignment horizontal="left"/>
    </xf>
    <xf numFmtId="0" fontId="11" fillId="0" borderId="1" xfId="1" applyFont="1" applyBorder="1" applyAlignment="1">
      <alignment horizontal="left" wrapText="1"/>
    </xf>
    <xf numFmtId="0" fontId="1" fillId="3" borderId="1" xfId="1" applyFont="1" applyFill="1" applyBorder="1" applyAlignment="1">
      <alignment horizontal="left"/>
    </xf>
    <xf numFmtId="0" fontId="1" fillId="3" borderId="1" xfId="1" applyFont="1" applyFill="1" applyBorder="1" applyAlignment="1">
      <alignment horizontal="left" wrapText="1"/>
    </xf>
    <xf numFmtId="0" fontId="4" fillId="0" borderId="0" xfId="1"/>
    <xf numFmtId="0" fontId="13" fillId="0" borderId="0" xfId="1" applyFont="1"/>
    <xf numFmtId="0" fontId="14" fillId="0" borderId="0" xfId="1" applyFont="1"/>
    <xf numFmtId="0" fontId="14" fillId="0" borderId="0" xfId="1" applyFont="1" applyAlignment="1">
      <alignment wrapText="1"/>
    </xf>
    <xf numFmtId="0" fontId="0" fillId="0" borderId="1" xfId="1" applyFont="1" applyBorder="1"/>
    <xf numFmtId="0" fontId="3" fillId="0" borderId="0" xfId="0" applyNumberFormat="1" applyFont="1" applyAlignment="1">
      <alignment vertical="center"/>
    </xf>
    <xf numFmtId="10" fontId="3" fillId="0" borderId="10" xfId="0" applyNumberFormat="1" applyFont="1" applyFill="1" applyBorder="1" applyAlignment="1">
      <alignment horizontal="center" vertical="center"/>
    </xf>
    <xf numFmtId="14" fontId="3" fillId="0" borderId="0" xfId="0" applyNumberFormat="1" applyFont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/>
    </xf>
    <xf numFmtId="0" fontId="0" fillId="0" borderId="21" xfId="0" applyFont="1" applyFill="1" applyBorder="1" applyAlignment="1">
      <alignment vertical="center"/>
    </xf>
    <xf numFmtId="0" fontId="0" fillId="0" borderId="19" xfId="0" applyFill="1" applyBorder="1"/>
    <xf numFmtId="0" fontId="2" fillId="0" borderId="0" xfId="0" applyFont="1" applyFill="1"/>
    <xf numFmtId="0" fontId="0" fillId="0" borderId="5" xfId="0" applyFill="1" applyBorder="1"/>
    <xf numFmtId="0" fontId="0" fillId="0" borderId="8" xfId="0" applyFill="1" applyBorder="1"/>
    <xf numFmtId="49" fontId="0" fillId="0" borderId="0" xfId="0" applyNumberFormat="1" applyBorder="1"/>
    <xf numFmtId="0" fontId="7" fillId="2" borderId="0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right" vertical="center"/>
    </xf>
    <xf numFmtId="0" fontId="7" fillId="2" borderId="18" xfId="0" applyFont="1" applyFill="1" applyBorder="1" applyAlignment="1">
      <alignment horizontal="center"/>
    </xf>
    <xf numFmtId="0" fontId="0" fillId="0" borderId="13" xfId="0" applyFill="1" applyBorder="1"/>
    <xf numFmtId="0" fontId="0" fillId="0" borderId="20" xfId="0" applyFill="1" applyBorder="1"/>
    <xf numFmtId="164" fontId="0" fillId="0" borderId="0" xfId="0" applyNumberFormat="1" applyFont="1" applyBorder="1" applyAlignment="1">
      <alignment horizontal="right" vertical="center"/>
    </xf>
    <xf numFmtId="169" fontId="0" fillId="0" borderId="19" xfId="0" applyNumberFormat="1" applyBorder="1"/>
    <xf numFmtId="0" fontId="1" fillId="2" borderId="17" xfId="0" applyFont="1" applyFill="1" applyBorder="1" applyAlignment="1">
      <alignment horizontal="right"/>
    </xf>
    <xf numFmtId="0" fontId="0" fillId="2" borderId="17" xfId="0" applyFont="1" applyFill="1" applyBorder="1" applyAlignment="1">
      <alignment horizontal="right"/>
    </xf>
    <xf numFmtId="169" fontId="0" fillId="0" borderId="0" xfId="0" applyNumberFormat="1" applyBorder="1"/>
    <xf numFmtId="169" fontId="0" fillId="0" borderId="17" xfId="0" applyNumberFormat="1" applyFont="1" applyBorder="1"/>
    <xf numFmtId="0" fontId="2" fillId="0" borderId="0" xfId="0" applyFont="1" applyAlignment="1">
      <alignment vertical="center"/>
    </xf>
    <xf numFmtId="164" fontId="1" fillId="0" borderId="0" xfId="0" applyNumberFormat="1" applyFont="1" applyBorder="1" applyAlignment="1">
      <alignment horizontal="left" vertical="center"/>
    </xf>
    <xf numFmtId="14" fontId="0" fillId="0" borderId="21" xfId="0" applyNumberFormat="1" applyFont="1" applyFill="1" applyBorder="1" applyAlignment="1">
      <alignment horizontal="center" vertical="center"/>
    </xf>
    <xf numFmtId="49" fontId="0" fillId="0" borderId="21" xfId="0" applyNumberFormat="1" applyFont="1" applyFill="1" applyBorder="1" applyAlignment="1">
      <alignment horizontal="center" vertical="center"/>
    </xf>
    <xf numFmtId="49" fontId="0" fillId="0" borderId="21" xfId="0" applyNumberFormat="1" applyFont="1" applyBorder="1" applyAlignment="1">
      <alignment horizontal="center" vertical="center"/>
    </xf>
    <xf numFmtId="14" fontId="0" fillId="0" borderId="0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 vertical="center"/>
    </xf>
    <xf numFmtId="14" fontId="3" fillId="0" borderId="0" xfId="0" applyNumberFormat="1" applyFont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0" fillId="0" borderId="0" xfId="0" applyNumberFormat="1" applyBorder="1" applyAlignment="1">
      <alignment horizontal="center"/>
    </xf>
    <xf numFmtId="0" fontId="0" fillId="0" borderId="13" xfId="0" applyNumberFormat="1" applyBorder="1" applyAlignment="1">
      <alignment horizontal="center"/>
    </xf>
    <xf numFmtId="167" fontId="1" fillId="2" borderId="0" xfId="0" applyNumberFormat="1" applyFont="1" applyFill="1" applyBorder="1" applyAlignment="1">
      <alignment horizontal="center" vertical="center"/>
    </xf>
    <xf numFmtId="167" fontId="1" fillId="3" borderId="0" xfId="0" applyNumberFormat="1" applyFont="1" applyFill="1" applyBorder="1" applyAlignment="1">
      <alignment horizontal="center"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5" fillId="0" borderId="0" xfId="0" applyFont="1" applyFill="1" applyAlignment="1">
      <alignment vertical="center"/>
    </xf>
    <xf numFmtId="0" fontId="15" fillId="0" borderId="4" xfId="0" applyFont="1" applyBorder="1"/>
    <xf numFmtId="0" fontId="15" fillId="0" borderId="5" xfId="0" applyFont="1" applyBorder="1" applyAlignment="1">
      <alignment vertical="center"/>
    </xf>
    <xf numFmtId="0" fontId="15" fillId="0" borderId="5" xfId="0" applyFont="1" applyBorder="1"/>
    <xf numFmtId="0" fontId="15" fillId="0" borderId="6" xfId="0" applyFont="1" applyBorder="1"/>
    <xf numFmtId="0" fontId="15" fillId="0" borderId="2" xfId="0" applyFont="1" applyFill="1" applyBorder="1"/>
    <xf numFmtId="0" fontId="19" fillId="4" borderId="0" xfId="0" applyFont="1" applyFill="1" applyBorder="1" applyAlignment="1">
      <alignment vertical="center"/>
    </xf>
    <xf numFmtId="0" fontId="15" fillId="4" borderId="0" xfId="0" applyFont="1" applyFill="1" applyBorder="1"/>
    <xf numFmtId="0" fontId="15" fillId="4" borderId="3" xfId="0" applyFont="1" applyFill="1" applyBorder="1"/>
    <xf numFmtId="0" fontId="15" fillId="0" borderId="0" xfId="0" applyFont="1" applyFill="1"/>
    <xf numFmtId="0" fontId="15" fillId="0" borderId="2" xfId="0" applyFont="1" applyBorder="1"/>
    <xf numFmtId="0" fontId="20" fillId="0" borderId="0" xfId="3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/>
    <xf numFmtId="0" fontId="15" fillId="0" borderId="3" xfId="0" applyFont="1" applyBorder="1"/>
    <xf numFmtId="0" fontId="20" fillId="0" borderId="0" xfId="3" applyFont="1"/>
    <xf numFmtId="0" fontId="15" fillId="0" borderId="0" xfId="0" applyFont="1" applyFill="1" applyBorder="1" applyAlignment="1">
      <alignment vertical="center"/>
    </xf>
    <xf numFmtId="0" fontId="21" fillId="0" borderId="0" xfId="0" applyFont="1"/>
    <xf numFmtId="0" fontId="15" fillId="0" borderId="7" xfId="0" applyFont="1" applyBorder="1"/>
    <xf numFmtId="0" fontId="15" fillId="0" borderId="8" xfId="0" applyFont="1" applyBorder="1" applyAlignment="1">
      <alignment horizontal="right"/>
    </xf>
    <xf numFmtId="14" fontId="15" fillId="0" borderId="8" xfId="0" applyNumberFormat="1" applyFont="1" applyBorder="1" applyAlignment="1">
      <alignment horizontal="left"/>
    </xf>
    <xf numFmtId="0" fontId="15" fillId="0" borderId="8" xfId="0" applyFont="1" applyBorder="1"/>
    <xf numFmtId="0" fontId="15" fillId="0" borderId="9" xfId="0" applyFont="1" applyBorder="1"/>
    <xf numFmtId="0" fontId="0" fillId="0" borderId="0" xfId="0" applyFont="1" applyAlignment="1">
      <alignment vertical="center"/>
    </xf>
    <xf numFmtId="167" fontId="0" fillId="0" borderId="0" xfId="0" applyNumberFormat="1" applyFont="1" applyFill="1" applyBorder="1" applyAlignment="1">
      <alignment horizontal="center" vertical="center"/>
    </xf>
    <xf numFmtId="10" fontId="0" fillId="0" borderId="18" xfId="0" applyNumberFormat="1" applyBorder="1" applyAlignment="1">
      <alignment horizontal="center"/>
    </xf>
    <xf numFmtId="10" fontId="0" fillId="0" borderId="20" xfId="0" applyNumberFormat="1" applyBorder="1" applyAlignment="1">
      <alignment horizontal="center"/>
    </xf>
    <xf numFmtId="9" fontId="2" fillId="3" borderId="0" xfId="0" applyNumberFormat="1" applyFont="1" applyFill="1" applyBorder="1" applyAlignment="1">
      <alignment vertical="center"/>
    </xf>
    <xf numFmtId="168" fontId="16" fillId="0" borderId="0" xfId="0" applyNumberFormat="1" applyFont="1" applyAlignment="1">
      <alignment horizontal="left" vertical="center"/>
    </xf>
    <xf numFmtId="168" fontId="1" fillId="0" borderId="0" xfId="0" applyNumberFormat="1" applyFont="1" applyFill="1" applyBorder="1" applyAlignment="1">
      <alignment horizontal="left"/>
    </xf>
    <xf numFmtId="0" fontId="9" fillId="0" borderId="0" xfId="3" applyFont="1" applyBorder="1" applyAlignment="1">
      <alignment vertical="center"/>
    </xf>
    <xf numFmtId="0" fontId="9" fillId="0" borderId="0" xfId="3" applyBorder="1" applyAlignment="1">
      <alignment vertical="center"/>
    </xf>
    <xf numFmtId="14" fontId="0" fillId="0" borderId="0" xfId="0" applyNumberForma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0" xfId="0" applyNumberFormat="1" applyBorder="1" applyAlignment="1">
      <alignment horizontal="center"/>
    </xf>
    <xf numFmtId="0" fontId="0" fillId="0" borderId="18" xfId="0" applyNumberFormat="1" applyBorder="1" applyAlignment="1">
      <alignment horizontal="center"/>
    </xf>
    <xf numFmtId="0" fontId="0" fillId="0" borderId="13" xfId="0" applyNumberFormat="1" applyBorder="1" applyAlignment="1">
      <alignment horizontal="center"/>
    </xf>
    <xf numFmtId="0" fontId="0" fillId="0" borderId="20" xfId="0" applyNumberForma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167" fontId="1" fillId="2" borderId="0" xfId="0" applyNumberFormat="1" applyFont="1" applyFill="1" applyBorder="1" applyAlignment="1">
      <alignment horizontal="center" vertical="center"/>
    </xf>
    <xf numFmtId="167" fontId="1" fillId="3" borderId="0" xfId="0" applyNumberFormat="1" applyFont="1" applyFill="1" applyBorder="1" applyAlignment="1">
      <alignment horizontal="center" vertical="center"/>
    </xf>
  </cellXfs>
  <cellStyles count="4">
    <cellStyle name="Hyperlink" xfId="3" builtinId="8"/>
    <cellStyle name="Hyperlink 2" xfId="2" xr:uid="{00000000-0005-0000-0000-000001000000}"/>
    <cellStyle name="Normal" xfId="0" builtinId="0"/>
    <cellStyle name="Normal 2" xfId="1" xr:uid="{00000000-0005-0000-0000-000003000000}"/>
  </cellStyles>
  <dxfs count="23">
    <dxf>
      <fill>
        <patternFill>
          <bgColor theme="0" tint="-0.14996795556505021"/>
        </patternFill>
      </fill>
    </dxf>
    <dxf>
      <border>
        <top/>
        <bottom style="thin">
          <color rgb="FFC00000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/>
      </font>
    </dxf>
    <dxf>
      <font>
        <color rgb="FFFF0000"/>
      </font>
    </dxf>
    <dxf>
      <font>
        <color rgb="FFFF0000"/>
      </font>
    </dxf>
    <dxf>
      <font>
        <b val="0"/>
        <i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/>
      </font>
    </dxf>
    <dxf>
      <font>
        <color rgb="FFFF0000"/>
      </font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C7CE"/>
      <color rgb="FF9C000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/>
              <a:t># of Measures</a:t>
            </a:r>
            <a:r>
              <a:rPr lang="en-US" sz="1600" baseline="0"/>
              <a:t> with Low Completion Rates</a:t>
            </a:r>
            <a:endParaRPr lang="en-US" sz="16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88D-491E-9CD2-3FAADB589E5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88D-491E-9CD2-3FAADB589E5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88D-491E-9CD2-3FAADB589E57}"/>
              </c:ext>
            </c:extLst>
          </c:dPt>
          <c:cat>
            <c:numRef>
              <c:f>Summary!$I$31:$I$34</c:f>
              <c:numCache>
                <c:formatCode>[$-409]mmmm\ yyyy;@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Summary!$J$31:$J$34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8D-491E-9CD2-3FAADB589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516288"/>
        <c:axId val="85518592"/>
      </c:barChart>
      <c:dateAx>
        <c:axId val="85516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 of Service</a:t>
                </a:r>
              </a:p>
            </c:rich>
          </c:tx>
          <c:overlay val="0"/>
        </c:title>
        <c:numFmt formatCode="[$-409]mmmm\ yyyy;@" sourceLinked="1"/>
        <c:majorTickMark val="out"/>
        <c:minorTickMark val="none"/>
        <c:tickLblPos val="nextTo"/>
        <c:crossAx val="85518592"/>
        <c:crosses val="autoZero"/>
        <c:auto val="1"/>
        <c:lblOffset val="100"/>
        <c:baseTimeUnit val="months"/>
      </c:dateAx>
      <c:valAx>
        <c:axId val="85518592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85516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12700">
      <a:solidFill>
        <a:schemeClr val="bg1">
          <a:lumMod val="75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9</xdr:row>
      <xdr:rowOff>180974</xdr:rowOff>
    </xdr:from>
    <xdr:to>
      <xdr:col>12</xdr:col>
      <xdr:colOff>180975</xdr:colOff>
      <xdr:row>27</xdr:row>
      <xdr:rowOff>2899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103</xdr:row>
      <xdr:rowOff>95251</xdr:rowOff>
    </xdr:from>
    <xdr:to>
      <xdr:col>7</xdr:col>
      <xdr:colOff>1057276</xdr:colOff>
      <xdr:row>111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42926" y="11839576"/>
          <a:ext cx="7715250" cy="160972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Legend: </a:t>
          </a:r>
        </a:p>
        <a:p>
          <a:endParaRPr lang="en-US">
            <a:solidFill>
              <a:sysClr val="windowText" lastClr="000000"/>
            </a:solidFill>
            <a:effectLst/>
          </a:endParaRPr>
        </a:p>
        <a:p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File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Name:  </a:t>
          </a: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Name of .zip file submiited through encounter data intake process</a:t>
          </a:r>
        </a:p>
        <a:p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Zip file Created: </a:t>
          </a: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Date .zip file was created, as indicated by date in file name</a:t>
          </a:r>
          <a:endParaRPr lang="en-US" sz="11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Metadata Date Created</a:t>
          </a: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Date file was compiled, according to metadata file included with file submission</a:t>
          </a:r>
        </a:p>
        <a:p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Date File Processed</a:t>
          </a: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Date file was succesfully loaded to MassHealth Data Warehouse</a:t>
          </a:r>
          <a:endParaRPr lang="en-US" sz="11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Override:</a:t>
          </a: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Whether the submission is a Manual Override file</a:t>
          </a:r>
          <a:endParaRPr lang="en-US" sz="11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Amendment: </a:t>
          </a: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Whether the submission contains Amendments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209549</xdr:colOff>
      <xdr:row>111</xdr:row>
      <xdr:rowOff>66675</xdr:rowOff>
    </xdr:from>
    <xdr:to>
      <xdr:col>7</xdr:col>
      <xdr:colOff>123824</xdr:colOff>
      <xdr:row>120</xdr:row>
      <xdr:rowOff>66675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390524" y="22174200"/>
          <a:ext cx="8162925" cy="17145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Key Terms:</a:t>
          </a:r>
        </a:p>
        <a:p>
          <a:endParaRPr lang="en-US">
            <a:solidFill>
              <a:sysClr val="windowText" lastClr="000000"/>
            </a:solidFill>
            <a:effectLst/>
          </a:endParaRPr>
        </a:p>
        <a:p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Month of Service </a:t>
          </a: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The month in which the date of service occurred.</a:t>
          </a:r>
          <a:endParaRPr lang="en-US">
            <a:solidFill>
              <a:sysClr val="windowText" lastClr="000000"/>
            </a:solidFill>
            <a:effectLst/>
          </a:endParaRPr>
        </a:p>
        <a:p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Scorecard Submission Month </a:t>
          </a: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The month in which the data</a:t>
          </a: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was pulled from the data warehouse</a:t>
          </a: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 Each month of service of data will have four iterations representing four submission months.</a:t>
          </a:r>
          <a:endParaRPr lang="en-US">
            <a:solidFill>
              <a:sysClr val="windowText" lastClr="000000"/>
            </a:solidFill>
            <a:effectLst/>
          </a:endParaRPr>
        </a:p>
        <a:p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Benchmarks Missed </a:t>
          </a: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Number of benchmarks missed for one month of service's data for a given submission month.</a:t>
          </a:r>
          <a:endParaRPr lang="en-US">
            <a:solidFill>
              <a:sysClr val="windowText" lastClr="000000"/>
            </a:solidFill>
            <a:effectLst/>
          </a:endParaRPr>
        </a:p>
        <a:p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# of Claims </a:t>
          </a: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The denominator of the benchmark being</a:t>
          </a: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evaluated for the current scorecard submission month</a:t>
          </a: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>
            <a:solidFill>
              <a:sysClr val="windowText" lastClr="000000"/>
            </a:solidFill>
            <a:effectLst/>
          </a:endParaRPr>
        </a:p>
        <a:p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Performance</a:t>
          </a: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- Percentage of total claims with complete - ie, non-null - values.</a:t>
          </a:r>
          <a:endParaRPr lang="en-US">
            <a:solidFill>
              <a:sysClr val="windowText" lastClr="000000"/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M46"/>
  <sheetViews>
    <sheetView showGridLines="0" tabSelected="1" zoomScaleNormal="100" workbookViewId="0"/>
  </sheetViews>
  <sheetFormatPr defaultRowHeight="15" x14ac:dyDescent="0.25"/>
  <cols>
    <col min="1" max="1" width="0.85546875" style="159" customWidth="1"/>
    <col min="2" max="2" width="24.85546875" style="159" customWidth="1"/>
    <col min="3" max="3" width="70.140625" style="159" customWidth="1"/>
    <col min="4" max="16384" width="9.140625" style="159"/>
  </cols>
  <sheetData>
    <row r="2" spans="1:13" ht="23.45" x14ac:dyDescent="0.3">
      <c r="B2" s="160" t="s">
        <v>39</v>
      </c>
      <c r="C2" s="161"/>
    </row>
    <row r="3" spans="1:13" ht="23.25" x14ac:dyDescent="0.25">
      <c r="B3" s="192">
        <f>DATA_DOWNLOADS!C1</f>
        <v>0</v>
      </c>
      <c r="C3" s="161"/>
    </row>
    <row r="4" spans="1:13" ht="23.25" x14ac:dyDescent="0.25">
      <c r="B4" s="162">
        <f>DATA_DOWNLOADS!C6</f>
        <v>0</v>
      </c>
      <c r="C4" s="161"/>
    </row>
    <row r="5" spans="1:13" x14ac:dyDescent="0.25">
      <c r="B5" s="163" t="s">
        <v>65</v>
      </c>
      <c r="C5" s="163">
        <f>DATA_DOWNLOADS!D6</f>
        <v>0</v>
      </c>
    </row>
    <row r="6" spans="1:13" x14ac:dyDescent="0.25">
      <c r="B6" s="163" t="s">
        <v>161</v>
      </c>
      <c r="C6" s="163">
        <f>DATA_DOWNLOADS!E6</f>
        <v>0</v>
      </c>
    </row>
    <row r="7" spans="1:13" x14ac:dyDescent="0.25">
      <c r="B7" s="163" t="s">
        <v>66</v>
      </c>
      <c r="C7" s="187">
        <f>DATA_DOWNLOADS!F4</f>
        <v>0</v>
      </c>
    </row>
    <row r="8" spans="1:13" ht="14.25" x14ac:dyDescent="0.3">
      <c r="B8" s="161"/>
      <c r="C8" s="164"/>
    </row>
    <row r="9" spans="1:13" ht="14.25" x14ac:dyDescent="0.3">
      <c r="A9" s="165"/>
      <c r="B9" s="166"/>
      <c r="C9" s="166"/>
      <c r="D9" s="167"/>
      <c r="E9" s="167"/>
      <c r="F9" s="167"/>
      <c r="G9" s="167"/>
      <c r="H9" s="167"/>
      <c r="I9" s="167"/>
      <c r="J9" s="167"/>
      <c r="K9" s="167"/>
      <c r="L9" s="167"/>
      <c r="M9" s="168"/>
    </row>
    <row r="10" spans="1:13" s="173" customFormat="1" ht="14.25" x14ac:dyDescent="0.3">
      <c r="A10" s="169"/>
      <c r="B10" s="170" t="s">
        <v>54</v>
      </c>
      <c r="C10" s="170" t="s">
        <v>55</v>
      </c>
      <c r="D10" s="171"/>
      <c r="E10" s="171"/>
      <c r="F10" s="171"/>
      <c r="G10" s="171"/>
      <c r="H10" s="171"/>
      <c r="I10" s="171"/>
      <c r="J10" s="171"/>
      <c r="K10" s="171"/>
      <c r="L10" s="171"/>
      <c r="M10" s="172"/>
    </row>
    <row r="11" spans="1:13" ht="14.25" x14ac:dyDescent="0.3">
      <c r="A11" s="174"/>
      <c r="B11" s="175" t="s">
        <v>56</v>
      </c>
      <c r="C11" s="176" t="s">
        <v>57</v>
      </c>
      <c r="D11" s="177"/>
      <c r="E11" s="177"/>
      <c r="F11" s="177"/>
      <c r="G11" s="177"/>
      <c r="H11" s="177"/>
      <c r="I11" s="177"/>
      <c r="J11" s="177"/>
      <c r="K11" s="177"/>
      <c r="L11" s="177"/>
      <c r="M11" s="178"/>
    </row>
    <row r="12" spans="1:13" x14ac:dyDescent="0.25">
      <c r="A12" s="174"/>
      <c r="B12" s="175" t="s">
        <v>53</v>
      </c>
      <c r="C12" s="176" t="s">
        <v>159</v>
      </c>
      <c r="D12" s="177"/>
      <c r="E12" s="177"/>
      <c r="F12" s="177"/>
      <c r="G12" s="177"/>
      <c r="H12" s="177"/>
      <c r="I12" s="177"/>
      <c r="J12" s="177"/>
      <c r="K12" s="177"/>
      <c r="L12" s="177"/>
      <c r="M12" s="178"/>
    </row>
    <row r="13" spans="1:13" x14ac:dyDescent="0.25">
      <c r="A13" s="174"/>
      <c r="B13" s="175" t="s">
        <v>52</v>
      </c>
      <c r="C13" s="176" t="s">
        <v>160</v>
      </c>
      <c r="D13" s="177"/>
      <c r="E13" s="177"/>
      <c r="F13" s="177"/>
      <c r="G13" s="177"/>
      <c r="H13" s="177"/>
      <c r="I13" s="177"/>
      <c r="J13" s="177"/>
      <c r="K13" s="177"/>
      <c r="L13" s="177"/>
      <c r="M13" s="178"/>
    </row>
    <row r="14" spans="1:13" x14ac:dyDescent="0.25">
      <c r="A14" s="174"/>
      <c r="B14" s="195" t="s">
        <v>198</v>
      </c>
      <c r="C14" s="176" t="s">
        <v>197</v>
      </c>
      <c r="D14" s="177"/>
      <c r="E14" s="177"/>
      <c r="F14" s="177"/>
      <c r="G14" s="177"/>
      <c r="H14" s="177"/>
      <c r="I14" s="177"/>
      <c r="J14" s="177"/>
      <c r="K14" s="177"/>
      <c r="L14" s="177"/>
      <c r="M14" s="178"/>
    </row>
    <row r="15" spans="1:13" x14ac:dyDescent="0.25">
      <c r="A15" s="174"/>
      <c r="B15" s="194" t="s">
        <v>162</v>
      </c>
      <c r="C15" s="176" t="s">
        <v>163</v>
      </c>
      <c r="D15" s="177"/>
      <c r="E15" s="177"/>
      <c r="F15" s="177"/>
      <c r="G15" s="177"/>
      <c r="H15" s="177"/>
      <c r="I15" s="177"/>
      <c r="J15" s="177"/>
      <c r="K15" s="177"/>
      <c r="L15" s="177"/>
      <c r="M15" s="178"/>
    </row>
    <row r="16" spans="1:13" x14ac:dyDescent="0.25">
      <c r="A16" s="174"/>
      <c r="B16" s="179" t="s">
        <v>164</v>
      </c>
      <c r="C16" s="180" t="s">
        <v>165</v>
      </c>
      <c r="D16" s="177"/>
      <c r="E16" s="177"/>
      <c r="F16" s="177"/>
      <c r="G16" s="177"/>
      <c r="H16" s="177"/>
      <c r="I16" s="177"/>
      <c r="J16" s="177"/>
      <c r="K16" s="177"/>
      <c r="L16" s="177"/>
      <c r="M16" s="178"/>
    </row>
    <row r="17" spans="1:13" x14ac:dyDescent="0.25">
      <c r="A17" s="174"/>
      <c r="D17" s="177"/>
      <c r="E17" s="177"/>
      <c r="F17" s="177"/>
      <c r="G17" s="177"/>
      <c r="H17" s="177"/>
      <c r="I17" s="177"/>
      <c r="J17" s="177"/>
      <c r="K17" s="177"/>
      <c r="L17" s="177"/>
      <c r="M17" s="178"/>
    </row>
    <row r="18" spans="1:13" x14ac:dyDescent="0.25">
      <c r="A18" s="174"/>
      <c r="D18" s="177"/>
      <c r="E18" s="177"/>
      <c r="F18" s="177"/>
      <c r="G18" s="177"/>
      <c r="H18" s="177"/>
      <c r="I18" s="177"/>
      <c r="J18" s="177"/>
      <c r="K18" s="177"/>
      <c r="L18" s="177"/>
      <c r="M18" s="178"/>
    </row>
    <row r="19" spans="1:13" x14ac:dyDescent="0.25">
      <c r="A19" s="174"/>
      <c r="D19" s="177"/>
      <c r="E19" s="177"/>
      <c r="F19" s="177"/>
      <c r="G19" s="177"/>
      <c r="H19" s="177"/>
      <c r="I19" s="177"/>
      <c r="J19" s="177"/>
      <c r="K19" s="177"/>
      <c r="L19" s="177"/>
      <c r="M19" s="178"/>
    </row>
    <row r="20" spans="1:13" x14ac:dyDescent="0.25">
      <c r="A20" s="174"/>
      <c r="B20" s="181" t="s">
        <v>180</v>
      </c>
      <c r="D20" s="177"/>
      <c r="E20" s="177"/>
      <c r="F20" s="177"/>
      <c r="G20" s="177"/>
      <c r="H20" s="177"/>
      <c r="I20" s="177"/>
      <c r="J20" s="177"/>
      <c r="K20" s="177"/>
      <c r="L20" s="177"/>
      <c r="M20" s="178"/>
    </row>
    <row r="21" spans="1:13" x14ac:dyDescent="0.25">
      <c r="A21" s="174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8"/>
    </row>
    <row r="22" spans="1:13" x14ac:dyDescent="0.25">
      <c r="A22" s="174"/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8"/>
    </row>
    <row r="23" spans="1:13" x14ac:dyDescent="0.25">
      <c r="A23" s="174"/>
      <c r="D23" s="177"/>
      <c r="E23" s="177"/>
      <c r="F23" s="177"/>
      <c r="G23" s="177"/>
      <c r="H23" s="177"/>
      <c r="I23" s="177"/>
      <c r="J23" s="177"/>
      <c r="K23" s="177"/>
      <c r="L23" s="177"/>
      <c r="M23" s="178"/>
    </row>
    <row r="24" spans="1:13" x14ac:dyDescent="0.25">
      <c r="A24" s="174"/>
      <c r="D24" s="177"/>
      <c r="E24" s="177"/>
      <c r="F24" s="177"/>
      <c r="G24" s="177"/>
      <c r="H24" s="177"/>
      <c r="I24" s="177"/>
      <c r="J24" s="177"/>
      <c r="K24" s="177"/>
      <c r="L24" s="177"/>
      <c r="M24" s="178"/>
    </row>
    <row r="25" spans="1:13" x14ac:dyDescent="0.25">
      <c r="A25" s="174"/>
      <c r="D25" s="177"/>
      <c r="E25" s="177"/>
      <c r="F25" s="177"/>
      <c r="G25" s="177"/>
      <c r="H25" s="177"/>
      <c r="I25" s="177"/>
      <c r="J25" s="177"/>
      <c r="K25" s="177"/>
      <c r="L25" s="177"/>
      <c r="M25" s="178"/>
    </row>
    <row r="26" spans="1:13" x14ac:dyDescent="0.25">
      <c r="A26" s="174"/>
      <c r="D26" s="177"/>
      <c r="E26" s="177"/>
      <c r="F26" s="177"/>
      <c r="G26" s="177"/>
      <c r="H26" s="177"/>
      <c r="I26" s="177"/>
      <c r="J26" s="177"/>
      <c r="K26" s="177"/>
      <c r="L26" s="177"/>
      <c r="M26" s="178"/>
    </row>
    <row r="27" spans="1:13" x14ac:dyDescent="0.25">
      <c r="A27" s="174"/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8"/>
    </row>
    <row r="28" spans="1:13" x14ac:dyDescent="0.25">
      <c r="A28" s="174"/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8"/>
    </row>
    <row r="29" spans="1:13" x14ac:dyDescent="0.25">
      <c r="A29" s="174"/>
      <c r="B29" s="177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8"/>
    </row>
    <row r="30" spans="1:13" x14ac:dyDescent="0.25">
      <c r="A30" s="174"/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8"/>
    </row>
    <row r="31" spans="1:13" x14ac:dyDescent="0.25">
      <c r="A31" s="174"/>
      <c r="B31" s="177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8"/>
    </row>
    <row r="32" spans="1:13" x14ac:dyDescent="0.25">
      <c r="A32" s="174"/>
      <c r="B32" s="177"/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8"/>
    </row>
    <row r="33" spans="1:13" x14ac:dyDescent="0.25">
      <c r="A33" s="174"/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8"/>
    </row>
    <row r="34" spans="1:13" x14ac:dyDescent="0.25">
      <c r="A34" s="174"/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8"/>
    </row>
    <row r="35" spans="1:13" x14ac:dyDescent="0.25">
      <c r="A35" s="174"/>
      <c r="B35" s="177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8"/>
    </row>
    <row r="36" spans="1:13" x14ac:dyDescent="0.25">
      <c r="A36" s="174"/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8"/>
    </row>
    <row r="37" spans="1:13" x14ac:dyDescent="0.25">
      <c r="A37" s="174"/>
      <c r="B37" s="177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8"/>
    </row>
    <row r="38" spans="1:13" x14ac:dyDescent="0.25">
      <c r="A38" s="174"/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8"/>
    </row>
    <row r="39" spans="1:13" x14ac:dyDescent="0.25">
      <c r="A39" s="174"/>
      <c r="B39" s="177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8"/>
    </row>
    <row r="40" spans="1:13" x14ac:dyDescent="0.25">
      <c r="A40" s="174"/>
      <c r="B40" s="177"/>
      <c r="C40" s="177"/>
      <c r="D40" s="177"/>
      <c r="E40" s="177"/>
      <c r="F40" s="177"/>
      <c r="G40" s="177"/>
      <c r="H40" s="177"/>
      <c r="I40" s="177"/>
      <c r="J40" s="177"/>
      <c r="K40" s="177"/>
      <c r="L40" s="177"/>
      <c r="M40" s="178"/>
    </row>
    <row r="41" spans="1:13" x14ac:dyDescent="0.25">
      <c r="A41" s="174"/>
      <c r="B41" s="177"/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178"/>
    </row>
    <row r="42" spans="1:13" x14ac:dyDescent="0.25">
      <c r="A42" s="174"/>
      <c r="B42" s="177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8"/>
    </row>
    <row r="43" spans="1:13" x14ac:dyDescent="0.25">
      <c r="A43" s="174"/>
      <c r="B43" s="177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8"/>
    </row>
    <row r="44" spans="1:13" x14ac:dyDescent="0.25">
      <c r="A44" s="174"/>
      <c r="B44" s="177"/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8"/>
    </row>
    <row r="45" spans="1:13" x14ac:dyDescent="0.25">
      <c r="A45" s="174"/>
      <c r="B45" s="177"/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M45" s="178"/>
    </row>
    <row r="46" spans="1:13" x14ac:dyDescent="0.25">
      <c r="A46" s="182"/>
      <c r="B46" s="183"/>
      <c r="C46" s="184"/>
      <c r="D46" s="185"/>
      <c r="E46" s="185"/>
      <c r="F46" s="185"/>
      <c r="G46" s="185"/>
      <c r="H46" s="185"/>
      <c r="I46" s="185"/>
      <c r="J46" s="185"/>
      <c r="K46" s="185"/>
      <c r="L46" s="185"/>
      <c r="M46" s="186"/>
    </row>
  </sheetData>
  <hyperlinks>
    <hyperlink ref="B11" location="Summary!A1" display="Summary" xr:uid="{00000000-0004-0000-0000-000000000000}"/>
    <hyperlink ref="B12" location="Timeliness!A1" display="Timeliness" xr:uid="{00000000-0004-0000-0000-000001000000}"/>
    <hyperlink ref="B13" location="Completeness!A1" display="Completeness" xr:uid="{00000000-0004-0000-0000-000002000000}"/>
    <hyperlink ref="B15" location="'Appendix A'!A1" display="Appendix A" xr:uid="{00000000-0004-0000-0000-000003000000}"/>
    <hyperlink ref="B16" location="'Appendix B'!A1" display="Appendix B" xr:uid="{00000000-0004-0000-0000-000004000000}"/>
    <hyperlink ref="B14" location="'Failure Claims Listing'!A1" display="Failure Claims Listing" xr:uid="{E99E5BD5-313A-4BD3-B793-53B807D4E782}"/>
  </hyperlinks>
  <pageMargins left="0.25" right="0.25" top="0.75" bottom="0.75" header="0.3" footer="0.3"/>
  <pageSetup scale="71" orientation="landscape" r:id="rId1"/>
  <headerFooter>
    <oddHeader>&amp;L&amp;"-,Bold"&amp;10&amp;G&amp;C&amp;"-,Bold"&amp;10&amp;F - &amp;A&amp;R&amp;"-,Bold"&amp;10&amp;G</oddHeader>
    <oddFooter>&amp;L&amp;"-,Bold"&amp;10Draft, Proprietary, and Confidential&amp;R&amp;"-,Bold"&amp;10 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2:M42"/>
  <sheetViews>
    <sheetView showGridLines="0" zoomScaleNormal="100" workbookViewId="0"/>
  </sheetViews>
  <sheetFormatPr defaultRowHeight="15" x14ac:dyDescent="0.25"/>
  <cols>
    <col min="1" max="2" width="2.7109375" customWidth="1"/>
    <col min="3" max="3" width="34.7109375" customWidth="1"/>
    <col min="4" max="4" width="12.140625" customWidth="1"/>
    <col min="5" max="5" width="12" customWidth="1"/>
    <col min="6" max="6" width="8.28515625" bestFit="1" customWidth="1"/>
    <col min="7" max="7" width="15.7109375" customWidth="1"/>
    <col min="8" max="8" width="2.7109375" style="8" customWidth="1"/>
    <col min="9" max="9" width="33.42578125" bestFit="1" customWidth="1"/>
    <col min="11" max="11" width="16.28515625" bestFit="1" customWidth="1"/>
    <col min="12" max="13" width="13.28515625" customWidth="1"/>
    <col min="14" max="14" width="15.7109375" customWidth="1"/>
  </cols>
  <sheetData>
    <row r="2" spans="2:13" ht="14.25" x14ac:dyDescent="0.3">
      <c r="C2" s="2" t="s">
        <v>39</v>
      </c>
      <c r="D2" s="3"/>
    </row>
    <row r="3" spans="2:13" ht="14.25" x14ac:dyDescent="0.3">
      <c r="C3" s="92" t="s">
        <v>61</v>
      </c>
      <c r="D3" s="93" t="s">
        <v>60</v>
      </c>
      <c r="F3" s="1"/>
      <c r="G3" s="9"/>
      <c r="H3" s="129"/>
    </row>
    <row r="4" spans="2:13" x14ac:dyDescent="0.25">
      <c r="C4" s="152">
        <f>DATA_DOWNLOADS!B2</f>
        <v>0</v>
      </c>
      <c r="D4" s="116">
        <f>DATA_DOWNLOADS!D2</f>
        <v>0</v>
      </c>
      <c r="F4" s="1"/>
      <c r="G4" s="9"/>
      <c r="H4" s="129"/>
    </row>
    <row r="5" spans="2:13" ht="14.25" x14ac:dyDescent="0.3">
      <c r="C5" s="2" t="s">
        <v>37</v>
      </c>
      <c r="D5" s="58"/>
    </row>
    <row r="6" spans="2:13" ht="14.25" x14ac:dyDescent="0.3">
      <c r="C6" s="94">
        <f>DATA_DOWNLOADS!D1</f>
        <v>0</v>
      </c>
      <c r="D6" s="2"/>
      <c r="E6" s="1"/>
    </row>
    <row r="7" spans="2:13" ht="14.25" x14ac:dyDescent="0.3">
      <c r="C7" s="95" t="s">
        <v>38</v>
      </c>
      <c r="D7" s="2"/>
      <c r="E7" s="1"/>
    </row>
    <row r="8" spans="2:13" ht="14.25" x14ac:dyDescent="0.3">
      <c r="C8" s="96">
        <f>DATA_DOWNLOADS!F4</f>
        <v>0</v>
      </c>
      <c r="D8" s="97"/>
      <c r="E8" s="6"/>
    </row>
    <row r="10" spans="2:13" ht="14.25" x14ac:dyDescent="0.3">
      <c r="B10" s="48"/>
      <c r="C10" s="47"/>
      <c r="D10" s="47"/>
      <c r="E10" s="47"/>
      <c r="F10" s="47"/>
      <c r="G10" s="47"/>
      <c r="H10" s="130"/>
      <c r="I10" s="47"/>
      <c r="J10" s="47"/>
      <c r="K10" s="47"/>
      <c r="L10" s="47"/>
      <c r="M10" s="13"/>
    </row>
    <row r="11" spans="2:13" ht="18.600000000000001" x14ac:dyDescent="0.3">
      <c r="B11" s="46"/>
      <c r="C11" s="75" t="s">
        <v>58</v>
      </c>
      <c r="D11" s="76"/>
      <c r="E11" s="76"/>
      <c r="F11" s="76"/>
      <c r="G11" s="77"/>
      <c r="H11" s="27"/>
      <c r="I11" s="10"/>
      <c r="J11" s="10"/>
      <c r="K11" s="10"/>
      <c r="L11" s="10"/>
      <c r="M11" s="11"/>
    </row>
    <row r="12" spans="2:13" x14ac:dyDescent="0.25">
      <c r="B12" s="46"/>
      <c r="C12" s="78">
        <f>DATA_DOWNLOADS!D8</f>
        <v>0</v>
      </c>
      <c r="D12" s="55"/>
      <c r="E12" s="55"/>
      <c r="F12" s="55"/>
      <c r="G12" s="79"/>
      <c r="H12" s="27"/>
      <c r="I12" s="10"/>
      <c r="J12" s="10"/>
      <c r="K12" s="10"/>
      <c r="L12" s="10"/>
      <c r="M12" s="11"/>
    </row>
    <row r="13" spans="2:13" x14ac:dyDescent="0.25">
      <c r="B13" s="46"/>
      <c r="C13" s="80">
        <f>DATA_DOWNLOADS!H8</f>
        <v>0</v>
      </c>
      <c r="D13" s="27"/>
      <c r="E13" s="27"/>
      <c r="F13" s="27"/>
      <c r="G13" s="81"/>
      <c r="H13" s="27"/>
      <c r="I13" s="10"/>
      <c r="J13" s="10"/>
      <c r="K13" s="10"/>
      <c r="L13" s="10"/>
      <c r="M13" s="11"/>
    </row>
    <row r="14" spans="2:13" x14ac:dyDescent="0.25">
      <c r="B14" s="46"/>
      <c r="C14" s="72" t="s">
        <v>179</v>
      </c>
      <c r="D14" s="27"/>
      <c r="E14" s="27"/>
      <c r="F14" s="27"/>
      <c r="G14" s="81"/>
      <c r="H14" s="27"/>
      <c r="I14" s="10"/>
      <c r="J14" s="10"/>
      <c r="K14" s="10"/>
      <c r="L14" s="10"/>
      <c r="M14" s="11"/>
    </row>
    <row r="15" spans="2:13" x14ac:dyDescent="0.25">
      <c r="B15" s="46"/>
      <c r="C15" s="71" t="s">
        <v>179</v>
      </c>
      <c r="D15" s="27"/>
      <c r="E15" s="27"/>
      <c r="F15" s="27"/>
      <c r="G15" s="81"/>
      <c r="H15" s="27"/>
      <c r="I15" s="10"/>
      <c r="J15" s="10"/>
      <c r="K15" s="10"/>
      <c r="L15" s="10"/>
      <c r="M15" s="11"/>
    </row>
    <row r="16" spans="2:13" x14ac:dyDescent="0.25">
      <c r="B16" s="46"/>
      <c r="C16" s="78">
        <f>DATA_DOWNLOADS!E8</f>
        <v>0</v>
      </c>
      <c r="D16" s="55"/>
      <c r="E16" s="55"/>
      <c r="F16" s="55"/>
      <c r="G16" s="79"/>
      <c r="H16" s="27"/>
      <c r="I16" s="10"/>
      <c r="J16" s="10"/>
      <c r="K16" s="10"/>
      <c r="L16" s="10"/>
      <c r="M16" s="11"/>
    </row>
    <row r="17" spans="2:13" x14ac:dyDescent="0.25">
      <c r="B17" s="46"/>
      <c r="C17" s="80">
        <f>DATA_DOWNLOADS!I8</f>
        <v>0</v>
      </c>
      <c r="D17" s="27"/>
      <c r="E17" s="27"/>
      <c r="F17" s="27"/>
      <c r="G17" s="81"/>
      <c r="H17" s="27"/>
      <c r="I17" s="10"/>
      <c r="J17" s="10"/>
      <c r="K17" s="10"/>
      <c r="L17" s="10"/>
      <c r="M17" s="11"/>
    </row>
    <row r="18" spans="2:13" x14ac:dyDescent="0.25">
      <c r="B18" s="46"/>
      <c r="C18" s="72" t="s">
        <v>179</v>
      </c>
      <c r="D18" s="27"/>
      <c r="E18" s="27"/>
      <c r="F18" s="27"/>
      <c r="G18" s="81"/>
      <c r="H18" s="27"/>
      <c r="I18" s="10"/>
      <c r="J18" s="10"/>
      <c r="K18" s="10"/>
      <c r="L18" s="10"/>
      <c r="M18" s="11"/>
    </row>
    <row r="19" spans="2:13" x14ac:dyDescent="0.25">
      <c r="B19" s="46"/>
      <c r="C19" s="71" t="s">
        <v>179</v>
      </c>
      <c r="D19" s="27"/>
      <c r="E19" s="27"/>
      <c r="F19" s="27"/>
      <c r="G19" s="81"/>
      <c r="H19" s="27"/>
      <c r="I19" s="10"/>
      <c r="J19" s="10"/>
      <c r="K19" s="10"/>
      <c r="L19" s="10"/>
      <c r="M19" s="11"/>
    </row>
    <row r="20" spans="2:13" x14ac:dyDescent="0.25">
      <c r="B20" s="46"/>
      <c r="C20" s="78">
        <f>DATA_DOWNLOADS!F8</f>
        <v>0</v>
      </c>
      <c r="D20" s="55"/>
      <c r="E20" s="55"/>
      <c r="F20" s="55"/>
      <c r="G20" s="79"/>
      <c r="H20" s="27"/>
      <c r="I20" s="10"/>
      <c r="J20" s="10"/>
      <c r="K20" s="10"/>
      <c r="L20" s="10"/>
      <c r="M20" s="11"/>
    </row>
    <row r="21" spans="2:13" x14ac:dyDescent="0.25">
      <c r="B21" s="46"/>
      <c r="C21" s="80">
        <f>DATA_DOWNLOADS!J8</f>
        <v>0</v>
      </c>
      <c r="D21" s="27"/>
      <c r="E21" s="27"/>
      <c r="F21" s="27"/>
      <c r="G21" s="81"/>
      <c r="H21" s="27"/>
      <c r="I21" s="10"/>
      <c r="J21" s="10"/>
      <c r="K21" s="10"/>
      <c r="L21" s="10"/>
      <c r="M21" s="11"/>
    </row>
    <row r="22" spans="2:13" x14ac:dyDescent="0.25">
      <c r="B22" s="46"/>
      <c r="C22" s="72" t="s">
        <v>179</v>
      </c>
      <c r="D22" s="27"/>
      <c r="E22" s="27"/>
      <c r="F22" s="27"/>
      <c r="G22" s="81"/>
      <c r="H22" s="27"/>
      <c r="I22" s="10"/>
      <c r="J22" s="10"/>
      <c r="K22" s="10"/>
      <c r="L22" s="10"/>
      <c r="M22" s="11"/>
    </row>
    <row r="23" spans="2:13" x14ac:dyDescent="0.25">
      <c r="B23" s="46"/>
      <c r="C23" s="71" t="s">
        <v>179</v>
      </c>
      <c r="D23" s="27"/>
      <c r="E23" s="27"/>
      <c r="F23" s="27"/>
      <c r="G23" s="81"/>
      <c r="H23" s="27"/>
      <c r="I23" s="10"/>
      <c r="J23" s="10"/>
      <c r="K23" s="10"/>
      <c r="L23" s="10"/>
      <c r="M23" s="11"/>
    </row>
    <row r="24" spans="2:13" x14ac:dyDescent="0.25">
      <c r="B24" s="46"/>
      <c r="C24" s="78">
        <f>DATA_DOWNLOADS!G8</f>
        <v>0</v>
      </c>
      <c r="D24" s="55"/>
      <c r="E24" s="55"/>
      <c r="F24" s="55"/>
      <c r="G24" s="79"/>
      <c r="H24" s="27"/>
      <c r="I24" s="10"/>
      <c r="J24" s="10"/>
      <c r="K24" s="10"/>
      <c r="L24" s="10"/>
      <c r="M24" s="11"/>
    </row>
    <row r="25" spans="2:13" x14ac:dyDescent="0.25">
      <c r="B25" s="46"/>
      <c r="C25" s="80">
        <f>DATA_DOWNLOADS!K8</f>
        <v>0</v>
      </c>
      <c r="D25" s="27"/>
      <c r="E25" s="27"/>
      <c r="F25" s="27"/>
      <c r="G25" s="81"/>
      <c r="H25" s="27"/>
      <c r="I25" s="10"/>
      <c r="J25" s="10"/>
      <c r="K25" s="10"/>
      <c r="L25" s="10"/>
      <c r="M25" s="11"/>
    </row>
    <row r="26" spans="2:13" x14ac:dyDescent="0.25">
      <c r="B26" s="46"/>
      <c r="C26" s="72"/>
      <c r="D26" s="27"/>
      <c r="E26" s="27"/>
      <c r="F26" s="27"/>
      <c r="G26" s="81"/>
      <c r="H26" s="27"/>
      <c r="I26" s="10"/>
      <c r="J26" s="10"/>
      <c r="K26" s="10"/>
      <c r="L26" s="10"/>
      <c r="M26" s="11"/>
    </row>
    <row r="27" spans="2:13" x14ac:dyDescent="0.25">
      <c r="B27" s="46"/>
      <c r="C27" s="128"/>
      <c r="D27" s="136"/>
      <c r="E27" s="136"/>
      <c r="F27" s="136"/>
      <c r="G27" s="137"/>
      <c r="H27" s="27"/>
      <c r="I27" s="10"/>
      <c r="J27" s="10"/>
      <c r="K27" s="10"/>
      <c r="L27" s="10"/>
      <c r="M27" s="11"/>
    </row>
    <row r="28" spans="2:13" x14ac:dyDescent="0.25">
      <c r="B28" s="46"/>
      <c r="I28" s="10"/>
      <c r="J28" s="10"/>
      <c r="K28" s="10"/>
      <c r="L28" s="10"/>
      <c r="M28" s="11"/>
    </row>
    <row r="29" spans="2:13" ht="18.75" x14ac:dyDescent="0.3">
      <c r="B29" s="46"/>
      <c r="C29" s="68" t="s">
        <v>172</v>
      </c>
      <c r="D29" s="69"/>
      <c r="E29" s="70"/>
      <c r="F29" s="27"/>
      <c r="G29" s="27"/>
      <c r="H29" s="27"/>
      <c r="I29" s="68" t="s">
        <v>169</v>
      </c>
      <c r="J29" s="69"/>
      <c r="K29" s="70"/>
      <c r="L29" s="10"/>
      <c r="M29" s="11"/>
    </row>
    <row r="30" spans="2:13" x14ac:dyDescent="0.25">
      <c r="B30" s="46"/>
      <c r="C30" s="141" t="s">
        <v>171</v>
      </c>
      <c r="D30" s="206"/>
      <c r="E30" s="207"/>
      <c r="F30" s="27"/>
      <c r="G30" s="27"/>
      <c r="I30" s="134" t="s">
        <v>51</v>
      </c>
      <c r="J30" s="133">
        <f>DATA_DOWNLOADS!C7</f>
        <v>0</v>
      </c>
      <c r="K30" s="135" t="s">
        <v>50</v>
      </c>
      <c r="L30" s="10"/>
      <c r="M30" s="11"/>
    </row>
    <row r="31" spans="2:13" x14ac:dyDescent="0.25">
      <c r="B31" s="46"/>
      <c r="C31" s="140" t="s">
        <v>178</v>
      </c>
      <c r="D31" s="206" t="s">
        <v>176</v>
      </c>
      <c r="E31" s="207"/>
      <c r="F31" s="27"/>
      <c r="G31" s="27"/>
      <c r="I31" s="73">
        <f>DATA_DOWNLOADS!B4</f>
        <v>0</v>
      </c>
      <c r="J31" s="155">
        <f>DATA_DOWNLOADS!B3</f>
        <v>0</v>
      </c>
      <c r="K31" s="189" t="e">
        <f>DATA_DOWNLOADS!B3/DATA_DOWNLOADS!B7</f>
        <v>#DIV/0!</v>
      </c>
      <c r="L31" s="10"/>
      <c r="M31" s="11"/>
    </row>
    <row r="32" spans="2:13" x14ac:dyDescent="0.25">
      <c r="B32" s="46"/>
      <c r="C32" s="143">
        <f>DATA_DOWNLOADS!N5</f>
        <v>0</v>
      </c>
      <c r="D32" s="202">
        <f>DATA_DOWNLOADS!O5</f>
        <v>0</v>
      </c>
      <c r="E32" s="203"/>
      <c r="F32" s="27"/>
      <c r="G32" s="27"/>
      <c r="I32" s="73">
        <f>DATA_DOWNLOADS!C4</f>
        <v>0</v>
      </c>
      <c r="J32" s="155">
        <f>DATA_DOWNLOADS!G3</f>
        <v>0</v>
      </c>
      <c r="K32" s="189" t="e">
        <f>DATA_DOWNLOADS!G3/DATA_DOWNLOADS!B7</f>
        <v>#DIV/0!</v>
      </c>
      <c r="L32" s="10"/>
      <c r="M32" s="11"/>
    </row>
    <row r="33" spans="2:13" x14ac:dyDescent="0.25">
      <c r="B33" s="46"/>
      <c r="C33" s="143">
        <f>DATA_DOWNLOADS!L5</f>
        <v>0</v>
      </c>
      <c r="D33" s="202">
        <f>DATA_DOWNLOADS!M5</f>
        <v>0</v>
      </c>
      <c r="E33" s="203"/>
      <c r="F33" s="27"/>
      <c r="G33" s="27"/>
      <c r="I33" s="73">
        <f>DATA_DOWNLOADS!D4</f>
        <v>0</v>
      </c>
      <c r="J33" s="155">
        <f>DATA_DOWNLOADS!L3</f>
        <v>0</v>
      </c>
      <c r="K33" s="189" t="e">
        <f>DATA_DOWNLOADS!L3/DATA_DOWNLOADS!B7</f>
        <v>#DIV/0!</v>
      </c>
      <c r="L33" s="10"/>
      <c r="M33" s="11"/>
    </row>
    <row r="34" spans="2:13" x14ac:dyDescent="0.25">
      <c r="B34" s="46"/>
      <c r="C34" s="143">
        <f>DATA_DOWNLOADS!J5</f>
        <v>0</v>
      </c>
      <c r="D34" s="202">
        <f>DATA_DOWNLOADS!K5</f>
        <v>0</v>
      </c>
      <c r="E34" s="203"/>
      <c r="F34" s="27"/>
      <c r="G34" s="27"/>
      <c r="I34" s="74">
        <f>DATA_DOWNLOADS!E4</f>
        <v>0</v>
      </c>
      <c r="J34" s="156">
        <f>DATA_DOWNLOADS!Q3</f>
        <v>0</v>
      </c>
      <c r="K34" s="190" t="e">
        <f>DATA_DOWNLOADS!Q3/DATA_DOWNLOADS!B7</f>
        <v>#DIV/0!</v>
      </c>
      <c r="L34" s="10"/>
      <c r="M34" s="11"/>
    </row>
    <row r="35" spans="2:13" x14ac:dyDescent="0.25">
      <c r="B35" s="46"/>
      <c r="C35" s="143">
        <f>DATA_DOWNLOADS!H5</f>
        <v>0</v>
      </c>
      <c r="D35" s="202">
        <f>DATA_DOWNLOADS!I5</f>
        <v>0</v>
      </c>
      <c r="E35" s="203"/>
      <c r="F35" s="27"/>
      <c r="G35" s="27"/>
      <c r="L35" s="10"/>
      <c r="M35" s="11"/>
    </row>
    <row r="36" spans="2:13" x14ac:dyDescent="0.25">
      <c r="B36" s="46"/>
      <c r="C36" s="143">
        <f>DATA_DOWNLOADS!F5</f>
        <v>0</v>
      </c>
      <c r="D36" s="202">
        <f>DATA_DOWNLOADS!G5</f>
        <v>0</v>
      </c>
      <c r="E36" s="203"/>
      <c r="F36" s="27"/>
      <c r="G36" s="27"/>
      <c r="L36" s="10"/>
      <c r="M36" s="11"/>
    </row>
    <row r="37" spans="2:13" x14ac:dyDescent="0.25">
      <c r="B37" s="46"/>
      <c r="C37" s="139">
        <f>DATA_DOWNLOADS!D5</f>
        <v>0</v>
      </c>
      <c r="D37" s="204">
        <f>DATA_DOWNLOADS!E5</f>
        <v>0</v>
      </c>
      <c r="E37" s="205"/>
      <c r="F37" s="27"/>
      <c r="G37" s="27"/>
      <c r="L37" s="10"/>
      <c r="M37" s="11"/>
    </row>
    <row r="38" spans="2:13" x14ac:dyDescent="0.25">
      <c r="B38" s="46"/>
      <c r="C38" s="142"/>
      <c r="D38" s="132"/>
      <c r="E38" s="10"/>
      <c r="F38" s="10"/>
      <c r="G38" s="10"/>
      <c r="L38" s="10"/>
      <c r="M38" s="11"/>
    </row>
    <row r="39" spans="2:13" x14ac:dyDescent="0.25">
      <c r="B39" s="46"/>
      <c r="C39" s="142"/>
      <c r="D39" s="132"/>
      <c r="E39" s="10"/>
      <c r="F39" s="27"/>
      <c r="G39" s="27"/>
      <c r="H39" s="27"/>
      <c r="L39" s="10"/>
      <c r="M39" s="11"/>
    </row>
    <row r="40" spans="2:13" x14ac:dyDescent="0.25">
      <c r="B40" s="46"/>
      <c r="C40" s="142"/>
      <c r="D40" s="132"/>
      <c r="E40" s="10"/>
      <c r="F40" s="10"/>
      <c r="G40" s="10"/>
      <c r="I40" s="10"/>
      <c r="J40" s="10"/>
      <c r="K40" s="10"/>
      <c r="L40" s="10"/>
      <c r="M40" s="11"/>
    </row>
    <row r="41" spans="2:13" x14ac:dyDescent="0.25">
      <c r="B41" s="46"/>
      <c r="C41" s="27"/>
      <c r="D41" s="10"/>
      <c r="E41" s="10"/>
      <c r="F41" s="10"/>
      <c r="G41" s="10"/>
      <c r="H41" s="27"/>
      <c r="I41" s="10"/>
      <c r="J41" s="10"/>
      <c r="K41" s="10"/>
      <c r="L41" s="10"/>
      <c r="M41" s="11"/>
    </row>
    <row r="42" spans="2:13" x14ac:dyDescent="0.25">
      <c r="B42" s="45"/>
      <c r="C42" s="44"/>
      <c r="D42" s="44"/>
      <c r="E42" s="44"/>
      <c r="F42" s="44"/>
      <c r="G42" s="44"/>
      <c r="H42" s="131"/>
      <c r="I42" s="44"/>
      <c r="J42" s="44"/>
      <c r="K42" s="44"/>
      <c r="L42" s="44"/>
      <c r="M42" s="12"/>
    </row>
  </sheetData>
  <mergeCells count="8">
    <mergeCell ref="D35:E35"/>
    <mergeCell ref="D36:E36"/>
    <mergeCell ref="D37:E37"/>
    <mergeCell ref="D30:E30"/>
    <mergeCell ref="D31:E31"/>
    <mergeCell ref="D32:E32"/>
    <mergeCell ref="D33:E33"/>
    <mergeCell ref="D34:E34"/>
  </mergeCells>
  <pageMargins left="0.25" right="0.25" top="0.75" bottom="0.75" header="0.3" footer="0.3"/>
  <pageSetup scale="72" orientation="landscape" r:id="rId1"/>
  <headerFooter>
    <oddHeader>&amp;L&amp;G&amp;C&amp;"-,Bold"&amp;10&amp;F - &amp;A&amp;R&amp;G</oddHeader>
    <oddFooter>&amp;L&amp;"-,Bold"&amp;10Draft, Proprietary, and Confidential&amp;R&amp;"-,Bold"&amp;10 &amp;P of &amp;N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B2:L103"/>
  <sheetViews>
    <sheetView showGridLines="0" zoomScaleNormal="100" workbookViewId="0"/>
  </sheetViews>
  <sheetFormatPr defaultColWidth="9.140625" defaultRowHeight="15" x14ac:dyDescent="0.25"/>
  <cols>
    <col min="1" max="2" width="2.7109375" style="3" customWidth="1"/>
    <col min="3" max="3" width="2.7109375" style="125" customWidth="1"/>
    <col min="4" max="4" width="44.28515625" style="3" customWidth="1"/>
    <col min="5" max="5" width="15" style="3" bestFit="1" customWidth="1"/>
    <col min="6" max="6" width="22" style="3" bestFit="1" customWidth="1"/>
    <col min="7" max="7" width="18.5703125" style="3" customWidth="1"/>
    <col min="8" max="8" width="16.140625" style="3" bestFit="1" customWidth="1"/>
    <col min="9" max="9" width="12.140625" style="3" bestFit="1" customWidth="1"/>
    <col min="10" max="10" width="45" style="3" customWidth="1"/>
    <col min="11" max="11" width="2.7109375" style="3" customWidth="1"/>
    <col min="12" max="12" width="9.140625" style="3" customWidth="1"/>
    <col min="13" max="16384" width="9.140625" style="3"/>
  </cols>
  <sheetData>
    <row r="2" spans="2:12" ht="14.25" x14ac:dyDescent="0.3">
      <c r="B2" s="64"/>
      <c r="C2" s="122"/>
      <c r="D2" s="56"/>
      <c r="E2" s="56"/>
      <c r="F2" s="56"/>
      <c r="G2" s="56"/>
      <c r="H2" s="56"/>
      <c r="I2" s="56"/>
      <c r="J2" s="56"/>
      <c r="K2" s="57"/>
      <c r="L2" s="58"/>
    </row>
    <row r="3" spans="2:12" ht="14.25" x14ac:dyDescent="0.3">
      <c r="B3" s="5"/>
      <c r="C3" s="121"/>
      <c r="D3" s="90" t="s">
        <v>39</v>
      </c>
      <c r="E3" s="90">
        <f>DATA_DOWNLOADS!B2</f>
        <v>0</v>
      </c>
      <c r="F3" s="90">
        <f>DATA_DOWNLOADS!D2</f>
        <v>0</v>
      </c>
      <c r="G3" s="90"/>
      <c r="H3" s="91"/>
      <c r="I3" s="58"/>
      <c r="J3" s="58"/>
      <c r="K3" s="59"/>
      <c r="L3" s="58"/>
    </row>
    <row r="4" spans="2:12" ht="14.25" x14ac:dyDescent="0.3">
      <c r="B4" s="5"/>
      <c r="C4" s="121"/>
      <c r="D4" s="65">
        <f>DATA_DOWNLOADS!C1</f>
        <v>0</v>
      </c>
      <c r="H4" s="58"/>
      <c r="I4" s="58"/>
      <c r="J4" s="58"/>
      <c r="K4" s="59"/>
      <c r="L4" s="58"/>
    </row>
    <row r="5" spans="2:12" ht="14.25" x14ac:dyDescent="0.3">
      <c r="B5" s="5"/>
      <c r="C5" s="121"/>
      <c r="D5" s="60"/>
      <c r="E5" s="60"/>
      <c r="F5" s="60"/>
      <c r="G5" s="60"/>
      <c r="H5" s="58"/>
      <c r="I5" s="58"/>
      <c r="J5" s="58"/>
      <c r="K5" s="59"/>
      <c r="L5" s="58"/>
    </row>
    <row r="6" spans="2:12" ht="14.25" x14ac:dyDescent="0.3">
      <c r="B6" s="5"/>
      <c r="C6" s="121"/>
      <c r="D6" s="144" t="s">
        <v>64</v>
      </c>
      <c r="E6" s="58"/>
      <c r="I6" s="58"/>
      <c r="J6" s="58"/>
      <c r="K6" s="59"/>
    </row>
    <row r="7" spans="2:12" ht="14.25" x14ac:dyDescent="0.3">
      <c r="B7" s="5"/>
      <c r="C7" s="121"/>
      <c r="E7" s="60"/>
      <c r="I7" s="58"/>
      <c r="J7" s="58"/>
      <c r="K7" s="59"/>
      <c r="L7" s="58"/>
    </row>
    <row r="8" spans="2:12" x14ac:dyDescent="0.25">
      <c r="B8" s="5"/>
      <c r="C8" s="121"/>
      <c r="D8" s="145" t="s">
        <v>175</v>
      </c>
      <c r="E8" s="60"/>
      <c r="F8" s="138" t="s">
        <v>170</v>
      </c>
      <c r="G8" s="138"/>
      <c r="H8" s="153">
        <f>DATA_DOWNLOADS!D1</f>
        <v>0</v>
      </c>
      <c r="I8" s="58"/>
      <c r="J8" s="58"/>
      <c r="K8" s="59"/>
      <c r="L8" s="58"/>
    </row>
    <row r="9" spans="2:12" ht="14.25" x14ac:dyDescent="0.3">
      <c r="B9" s="5"/>
      <c r="C9" s="123"/>
      <c r="D9" s="119" t="s">
        <v>166</v>
      </c>
      <c r="E9" s="28" t="s">
        <v>173</v>
      </c>
      <c r="F9" s="28" t="s">
        <v>174</v>
      </c>
      <c r="G9" s="28" t="s">
        <v>177</v>
      </c>
      <c r="H9" s="28" t="s">
        <v>167</v>
      </c>
      <c r="I9" s="28" t="s">
        <v>168</v>
      </c>
      <c r="J9" s="28" t="s">
        <v>49</v>
      </c>
      <c r="K9" s="59"/>
      <c r="L9" s="58"/>
    </row>
    <row r="10" spans="2:12" x14ac:dyDescent="0.25">
      <c r="B10" s="5"/>
      <c r="C10" s="150"/>
      <c r="D10" s="127"/>
      <c r="E10" s="146"/>
      <c r="F10" s="146"/>
      <c r="G10" s="146"/>
      <c r="H10" s="147"/>
      <c r="I10" s="147"/>
      <c r="J10" s="148"/>
      <c r="K10" s="59"/>
      <c r="L10" s="58"/>
    </row>
    <row r="11" spans="2:12" x14ac:dyDescent="0.25">
      <c r="B11" s="5"/>
      <c r="C11" s="150"/>
      <c r="D11" s="127"/>
      <c r="E11" s="146"/>
      <c r="F11" s="146"/>
      <c r="G11" s="146"/>
      <c r="H11" s="147"/>
      <c r="I11" s="147"/>
      <c r="J11" s="148"/>
      <c r="K11" s="59"/>
      <c r="L11" s="58"/>
    </row>
    <row r="12" spans="2:12" x14ac:dyDescent="0.25">
      <c r="B12" s="5"/>
      <c r="C12" s="150"/>
      <c r="D12" s="127"/>
      <c r="E12" s="146"/>
      <c r="F12" s="146"/>
      <c r="G12" s="146"/>
      <c r="H12" s="147"/>
      <c r="I12" s="147"/>
      <c r="J12" s="148"/>
      <c r="K12" s="59"/>
      <c r="L12" s="58"/>
    </row>
    <row r="13" spans="2:12" x14ac:dyDescent="0.25">
      <c r="B13" s="5"/>
      <c r="C13" s="150"/>
      <c r="D13" s="127"/>
      <c r="E13" s="146"/>
      <c r="F13" s="146"/>
      <c r="G13" s="146"/>
      <c r="H13" s="147"/>
      <c r="I13" s="147"/>
      <c r="J13" s="148"/>
      <c r="K13" s="59"/>
      <c r="L13" s="58"/>
    </row>
    <row r="14" spans="2:12" x14ac:dyDescent="0.25">
      <c r="B14" s="5"/>
      <c r="C14" s="150"/>
      <c r="D14" s="127"/>
      <c r="E14" s="146"/>
      <c r="F14" s="146"/>
      <c r="G14" s="146"/>
      <c r="H14" s="147"/>
      <c r="I14" s="147"/>
      <c r="J14" s="148"/>
      <c r="K14" s="59"/>
      <c r="L14" s="58"/>
    </row>
    <row r="15" spans="2:12" x14ac:dyDescent="0.25">
      <c r="B15" s="5"/>
      <c r="C15" s="150"/>
      <c r="D15" s="127"/>
      <c r="E15" s="146"/>
      <c r="F15" s="146"/>
      <c r="G15" s="146"/>
      <c r="H15" s="147"/>
      <c r="I15" s="147"/>
      <c r="J15" s="148"/>
      <c r="K15" s="59"/>
      <c r="L15" s="58"/>
    </row>
    <row r="16" spans="2:12" x14ac:dyDescent="0.25">
      <c r="B16" s="5"/>
      <c r="C16" s="150"/>
      <c r="D16" s="127"/>
      <c r="E16" s="146"/>
      <c r="F16" s="146"/>
      <c r="G16" s="146"/>
      <c r="H16" s="147"/>
      <c r="I16" s="147"/>
      <c r="J16" s="148"/>
      <c r="K16" s="59"/>
      <c r="L16" s="58"/>
    </row>
    <row r="17" spans="2:12" x14ac:dyDescent="0.25">
      <c r="B17" s="5"/>
      <c r="C17" s="150"/>
      <c r="D17" s="127"/>
      <c r="E17" s="146"/>
      <c r="F17" s="146"/>
      <c r="G17" s="146"/>
      <c r="H17" s="147"/>
      <c r="I17" s="147"/>
      <c r="J17" s="148"/>
      <c r="K17" s="59"/>
      <c r="L17" s="58"/>
    </row>
    <row r="18" spans="2:12" x14ac:dyDescent="0.25">
      <c r="B18" s="5"/>
      <c r="C18" s="150"/>
      <c r="D18" s="127"/>
      <c r="E18" s="146"/>
      <c r="F18" s="146"/>
      <c r="G18" s="146"/>
      <c r="H18" s="147"/>
      <c r="I18" s="147"/>
      <c r="J18" s="148"/>
      <c r="K18" s="59"/>
      <c r="L18" s="58"/>
    </row>
    <row r="19" spans="2:12" x14ac:dyDescent="0.25">
      <c r="B19" s="5"/>
      <c r="C19" s="150"/>
      <c r="D19" s="127"/>
      <c r="E19" s="146"/>
      <c r="F19" s="146"/>
      <c r="G19" s="146"/>
      <c r="H19" s="147"/>
      <c r="I19" s="147"/>
      <c r="J19" s="148"/>
      <c r="K19" s="59"/>
      <c r="L19" s="58"/>
    </row>
    <row r="20" spans="2:12" x14ac:dyDescent="0.25">
      <c r="B20" s="5"/>
      <c r="C20" s="150"/>
      <c r="D20" s="127"/>
      <c r="E20" s="146"/>
      <c r="F20" s="146"/>
      <c r="G20" s="146"/>
      <c r="H20" s="147"/>
      <c r="I20" s="147"/>
      <c r="J20" s="148"/>
      <c r="K20" s="59"/>
      <c r="L20" s="58"/>
    </row>
    <row r="21" spans="2:12" x14ac:dyDescent="0.25">
      <c r="B21" s="5"/>
      <c r="C21" s="150"/>
      <c r="D21" s="127"/>
      <c r="E21" s="146"/>
      <c r="F21" s="146"/>
      <c r="G21" s="146"/>
      <c r="H21" s="147"/>
      <c r="I21" s="147"/>
      <c r="J21" s="148"/>
      <c r="K21" s="59"/>
      <c r="L21" s="58"/>
    </row>
    <row r="22" spans="2:12" x14ac:dyDescent="0.25">
      <c r="B22" s="5"/>
      <c r="C22" s="150"/>
      <c r="D22" s="127"/>
      <c r="E22" s="146"/>
      <c r="F22" s="146"/>
      <c r="G22" s="146"/>
      <c r="H22" s="147"/>
      <c r="I22" s="147"/>
      <c r="J22" s="148"/>
      <c r="K22" s="59"/>
      <c r="L22" s="58"/>
    </row>
    <row r="23" spans="2:12" x14ac:dyDescent="0.25">
      <c r="B23" s="5"/>
      <c r="C23" s="150"/>
      <c r="D23" s="127"/>
      <c r="E23" s="146"/>
      <c r="F23" s="146"/>
      <c r="G23" s="146"/>
      <c r="H23" s="147"/>
      <c r="I23" s="147"/>
      <c r="J23" s="148"/>
      <c r="K23" s="59"/>
      <c r="L23" s="58"/>
    </row>
    <row r="24" spans="2:12" x14ac:dyDescent="0.25">
      <c r="B24" s="5"/>
      <c r="C24" s="150"/>
      <c r="D24" s="127"/>
      <c r="E24" s="146"/>
      <c r="F24" s="146"/>
      <c r="G24" s="146"/>
      <c r="H24" s="147"/>
      <c r="I24" s="147"/>
      <c r="J24" s="148"/>
      <c r="K24" s="59"/>
      <c r="L24" s="58"/>
    </row>
    <row r="25" spans="2:12" x14ac:dyDescent="0.25">
      <c r="B25" s="5"/>
      <c r="C25" s="150"/>
      <c r="D25" s="127"/>
      <c r="E25" s="146"/>
      <c r="F25" s="146"/>
      <c r="G25" s="146"/>
      <c r="H25" s="147"/>
      <c r="I25" s="147"/>
      <c r="J25" s="148"/>
      <c r="K25" s="59"/>
      <c r="L25" s="58"/>
    </row>
    <row r="26" spans="2:12" x14ac:dyDescent="0.25">
      <c r="B26" s="5"/>
      <c r="C26" s="150"/>
      <c r="D26" s="127"/>
      <c r="E26" s="146"/>
      <c r="F26" s="146"/>
      <c r="G26" s="146"/>
      <c r="H26" s="147"/>
      <c r="I26" s="147"/>
      <c r="J26" s="148"/>
      <c r="K26" s="59"/>
      <c r="L26" s="58"/>
    </row>
    <row r="27" spans="2:12" x14ac:dyDescent="0.25">
      <c r="B27" s="5"/>
      <c r="C27" s="150"/>
      <c r="D27" s="127"/>
      <c r="E27" s="146"/>
      <c r="F27" s="146"/>
      <c r="G27" s="146"/>
      <c r="H27" s="147"/>
      <c r="I27" s="147"/>
      <c r="J27" s="148"/>
      <c r="K27" s="59"/>
      <c r="L27" s="58"/>
    </row>
    <row r="28" spans="2:12" x14ac:dyDescent="0.25">
      <c r="B28" s="5"/>
      <c r="C28" s="150"/>
      <c r="D28" s="127"/>
      <c r="E28" s="146"/>
      <c r="F28" s="146"/>
      <c r="G28" s="146"/>
      <c r="H28" s="147"/>
      <c r="I28" s="147"/>
      <c r="J28" s="148"/>
      <c r="K28" s="59"/>
      <c r="L28" s="58"/>
    </row>
    <row r="29" spans="2:12" x14ac:dyDescent="0.25">
      <c r="B29" s="5"/>
      <c r="C29" s="150"/>
      <c r="D29" s="127"/>
      <c r="E29" s="146"/>
      <c r="F29" s="146"/>
      <c r="G29" s="146"/>
      <c r="H29" s="147"/>
      <c r="I29" s="147"/>
      <c r="J29" s="148"/>
      <c r="K29" s="59"/>
      <c r="L29" s="58"/>
    </row>
    <row r="30" spans="2:12" x14ac:dyDescent="0.25">
      <c r="B30" s="5"/>
      <c r="C30" s="150"/>
      <c r="D30" s="127"/>
      <c r="E30" s="146"/>
      <c r="F30" s="146"/>
      <c r="G30" s="146"/>
      <c r="H30" s="147"/>
      <c r="I30" s="147"/>
      <c r="J30" s="148"/>
      <c r="K30" s="59"/>
      <c r="L30" s="58"/>
    </row>
    <row r="31" spans="2:12" x14ac:dyDescent="0.25">
      <c r="B31" s="5"/>
      <c r="C31" s="150"/>
      <c r="D31" s="127"/>
      <c r="E31" s="146"/>
      <c r="F31" s="146"/>
      <c r="G31" s="146"/>
      <c r="H31" s="147"/>
      <c r="I31" s="147"/>
      <c r="J31" s="148"/>
      <c r="K31" s="59"/>
      <c r="L31" s="58"/>
    </row>
    <row r="32" spans="2:12" x14ac:dyDescent="0.25">
      <c r="B32" s="5"/>
      <c r="C32" s="150"/>
      <c r="D32" s="127"/>
      <c r="E32" s="146"/>
      <c r="F32" s="146"/>
      <c r="G32" s="146"/>
      <c r="H32" s="147"/>
      <c r="I32" s="147"/>
      <c r="J32" s="148"/>
      <c r="K32" s="59"/>
      <c r="L32" s="58"/>
    </row>
    <row r="33" spans="2:12" x14ac:dyDescent="0.25">
      <c r="B33" s="5"/>
      <c r="C33" s="150"/>
      <c r="D33" s="127"/>
      <c r="E33" s="146"/>
      <c r="F33" s="146"/>
      <c r="G33" s="146"/>
      <c r="H33" s="147"/>
      <c r="I33" s="147"/>
      <c r="J33" s="148"/>
      <c r="K33" s="59"/>
      <c r="L33" s="58"/>
    </row>
    <row r="34" spans="2:12" x14ac:dyDescent="0.25">
      <c r="B34" s="5"/>
      <c r="C34" s="150"/>
      <c r="D34" s="127"/>
      <c r="E34" s="146"/>
      <c r="F34" s="146"/>
      <c r="G34" s="146"/>
      <c r="H34" s="147"/>
      <c r="I34" s="147"/>
      <c r="J34" s="148"/>
      <c r="K34" s="59"/>
      <c r="L34" s="58"/>
    </row>
    <row r="35" spans="2:12" x14ac:dyDescent="0.25">
      <c r="B35" s="5"/>
      <c r="C35" s="150"/>
      <c r="D35" s="127"/>
      <c r="E35" s="146"/>
      <c r="F35" s="146"/>
      <c r="G35" s="146"/>
      <c r="H35" s="147"/>
      <c r="I35" s="147"/>
      <c r="J35" s="148"/>
      <c r="K35" s="59"/>
      <c r="L35" s="58"/>
    </row>
    <row r="36" spans="2:12" x14ac:dyDescent="0.25">
      <c r="B36" s="5"/>
      <c r="C36" s="150"/>
      <c r="D36" s="127"/>
      <c r="E36" s="146"/>
      <c r="F36" s="146"/>
      <c r="G36" s="146"/>
      <c r="H36" s="147"/>
      <c r="I36" s="147"/>
      <c r="J36" s="148"/>
      <c r="K36" s="59"/>
      <c r="L36" s="58"/>
    </row>
    <row r="37" spans="2:12" x14ac:dyDescent="0.25">
      <c r="B37" s="5"/>
      <c r="C37" s="150"/>
      <c r="D37" s="127"/>
      <c r="E37" s="146"/>
      <c r="F37" s="146"/>
      <c r="G37" s="146"/>
      <c r="H37" s="147"/>
      <c r="I37" s="147"/>
      <c r="J37" s="148"/>
      <c r="K37" s="59"/>
      <c r="L37" s="58"/>
    </row>
    <row r="38" spans="2:12" x14ac:dyDescent="0.25">
      <c r="B38" s="5"/>
      <c r="C38" s="150"/>
      <c r="D38" s="127"/>
      <c r="E38" s="146"/>
      <c r="F38" s="146"/>
      <c r="G38" s="146"/>
      <c r="H38" s="147"/>
      <c r="I38" s="147"/>
      <c r="J38" s="148"/>
      <c r="K38" s="59"/>
      <c r="L38" s="58"/>
    </row>
    <row r="39" spans="2:12" x14ac:dyDescent="0.25">
      <c r="B39" s="5"/>
      <c r="C39" s="150"/>
      <c r="D39" s="127"/>
      <c r="E39" s="146"/>
      <c r="F39" s="146"/>
      <c r="G39" s="146"/>
      <c r="H39" s="147"/>
      <c r="I39" s="147"/>
      <c r="J39" s="148"/>
      <c r="K39" s="59"/>
      <c r="L39" s="58"/>
    </row>
    <row r="40" spans="2:12" x14ac:dyDescent="0.25">
      <c r="B40" s="5"/>
      <c r="C40" s="150"/>
      <c r="D40" s="127"/>
      <c r="E40" s="146"/>
      <c r="F40" s="146"/>
      <c r="G40" s="146"/>
      <c r="H40" s="147"/>
      <c r="I40" s="147"/>
      <c r="J40" s="148"/>
      <c r="K40" s="59"/>
      <c r="L40" s="58"/>
    </row>
    <row r="41" spans="2:12" x14ac:dyDescent="0.25">
      <c r="B41" s="5"/>
      <c r="C41" s="150"/>
      <c r="D41" s="127"/>
      <c r="E41" s="146"/>
      <c r="F41" s="146"/>
      <c r="G41" s="146"/>
      <c r="H41" s="147"/>
      <c r="I41" s="147"/>
      <c r="J41" s="148"/>
      <c r="K41" s="59"/>
      <c r="L41" s="58"/>
    </row>
    <row r="42" spans="2:12" x14ac:dyDescent="0.25">
      <c r="B42" s="5"/>
      <c r="C42" s="150"/>
      <c r="D42" s="127"/>
      <c r="E42" s="146"/>
      <c r="F42" s="146"/>
      <c r="G42" s="146"/>
      <c r="H42" s="147"/>
      <c r="I42" s="147"/>
      <c r="J42" s="148"/>
      <c r="K42" s="59"/>
      <c r="L42" s="58"/>
    </row>
    <row r="43" spans="2:12" x14ac:dyDescent="0.25">
      <c r="B43" s="5"/>
      <c r="C43" s="150"/>
      <c r="D43" s="127"/>
      <c r="E43" s="146"/>
      <c r="F43" s="146"/>
      <c r="G43" s="146"/>
      <c r="H43" s="147"/>
      <c r="I43" s="147"/>
      <c r="J43" s="148"/>
      <c r="K43" s="59"/>
      <c r="L43" s="58"/>
    </row>
    <row r="44" spans="2:12" x14ac:dyDescent="0.25">
      <c r="B44" s="5"/>
      <c r="C44" s="150"/>
      <c r="D44" s="127"/>
      <c r="E44" s="146"/>
      <c r="F44" s="146"/>
      <c r="G44" s="146"/>
      <c r="H44" s="147"/>
      <c r="I44" s="147"/>
      <c r="J44" s="148"/>
      <c r="K44" s="59"/>
      <c r="L44" s="58"/>
    </row>
    <row r="45" spans="2:12" x14ac:dyDescent="0.25">
      <c r="B45" s="5"/>
      <c r="C45" s="150"/>
      <c r="D45" s="127"/>
      <c r="E45" s="146"/>
      <c r="F45" s="146"/>
      <c r="G45" s="146"/>
      <c r="H45" s="147"/>
      <c r="I45" s="147"/>
      <c r="J45" s="148"/>
      <c r="K45" s="59"/>
      <c r="L45" s="58"/>
    </row>
    <row r="46" spans="2:12" x14ac:dyDescent="0.25">
      <c r="B46" s="5"/>
      <c r="C46" s="150"/>
      <c r="D46" s="127"/>
      <c r="E46" s="146"/>
      <c r="F46" s="146"/>
      <c r="G46" s="146"/>
      <c r="H46" s="147"/>
      <c r="I46" s="147"/>
      <c r="J46" s="148"/>
      <c r="K46" s="59"/>
      <c r="L46" s="58"/>
    </row>
    <row r="47" spans="2:12" x14ac:dyDescent="0.25">
      <c r="B47" s="5"/>
      <c r="C47" s="150"/>
      <c r="D47" s="127"/>
      <c r="E47" s="146"/>
      <c r="F47" s="146"/>
      <c r="G47" s="146"/>
      <c r="H47" s="147"/>
      <c r="I47" s="147"/>
      <c r="J47" s="148"/>
      <c r="K47" s="59"/>
      <c r="L47" s="58"/>
    </row>
    <row r="48" spans="2:12" x14ac:dyDescent="0.25">
      <c r="B48" s="5"/>
      <c r="C48" s="150"/>
      <c r="D48" s="127"/>
      <c r="E48" s="146"/>
      <c r="F48" s="146"/>
      <c r="G48" s="146"/>
      <c r="H48" s="147"/>
      <c r="I48" s="147"/>
      <c r="J48" s="148"/>
      <c r="K48" s="59"/>
      <c r="L48" s="58"/>
    </row>
    <row r="49" spans="2:12" x14ac:dyDescent="0.25">
      <c r="B49" s="5"/>
      <c r="C49" s="150"/>
      <c r="D49" s="127"/>
      <c r="E49" s="146"/>
      <c r="F49" s="146"/>
      <c r="G49" s="146"/>
      <c r="H49" s="147"/>
      <c r="I49" s="147"/>
      <c r="J49" s="148"/>
      <c r="K49" s="59"/>
      <c r="L49" s="58"/>
    </row>
    <row r="50" spans="2:12" x14ac:dyDescent="0.25">
      <c r="B50" s="5"/>
      <c r="C50" s="150"/>
      <c r="D50" s="127"/>
      <c r="E50" s="146"/>
      <c r="F50" s="146"/>
      <c r="G50" s="146"/>
      <c r="H50" s="147"/>
      <c r="I50" s="147"/>
      <c r="J50" s="148"/>
      <c r="K50" s="59"/>
      <c r="L50" s="58"/>
    </row>
    <row r="51" spans="2:12" x14ac:dyDescent="0.25">
      <c r="B51" s="5"/>
      <c r="C51" s="150"/>
      <c r="D51" s="127"/>
      <c r="E51" s="146"/>
      <c r="F51" s="146"/>
      <c r="G51" s="146"/>
      <c r="H51" s="147"/>
      <c r="I51" s="147"/>
      <c r="J51" s="148"/>
      <c r="K51" s="59"/>
      <c r="L51" s="58"/>
    </row>
    <row r="52" spans="2:12" x14ac:dyDescent="0.25">
      <c r="B52" s="5"/>
      <c r="C52" s="150"/>
      <c r="D52" s="127"/>
      <c r="E52" s="146"/>
      <c r="F52" s="146"/>
      <c r="G52" s="146"/>
      <c r="H52" s="147"/>
      <c r="I52" s="147"/>
      <c r="J52" s="148"/>
      <c r="K52" s="59"/>
      <c r="L52" s="58"/>
    </row>
    <row r="53" spans="2:12" x14ac:dyDescent="0.25">
      <c r="B53" s="5"/>
      <c r="C53" s="150"/>
      <c r="D53" s="127"/>
      <c r="E53" s="146"/>
      <c r="F53" s="146"/>
      <c r="G53" s="146"/>
      <c r="H53" s="147"/>
      <c r="I53" s="147"/>
      <c r="J53" s="148"/>
      <c r="K53" s="59"/>
      <c r="L53" s="58"/>
    </row>
    <row r="54" spans="2:12" x14ac:dyDescent="0.25">
      <c r="B54" s="5"/>
      <c r="C54" s="150"/>
      <c r="D54" s="127"/>
      <c r="E54" s="146"/>
      <c r="F54" s="146"/>
      <c r="G54" s="146"/>
      <c r="H54" s="147"/>
      <c r="I54" s="147"/>
      <c r="J54" s="148"/>
      <c r="K54" s="59"/>
      <c r="L54" s="58"/>
    </row>
    <row r="55" spans="2:12" x14ac:dyDescent="0.25">
      <c r="B55" s="5"/>
      <c r="C55" s="150"/>
      <c r="D55" s="127"/>
      <c r="E55" s="146"/>
      <c r="F55" s="146"/>
      <c r="G55" s="146"/>
      <c r="H55" s="147"/>
      <c r="I55" s="147"/>
      <c r="J55" s="148"/>
      <c r="K55" s="59"/>
      <c r="L55" s="58"/>
    </row>
    <row r="56" spans="2:12" x14ac:dyDescent="0.25">
      <c r="B56" s="5"/>
      <c r="C56" s="150"/>
      <c r="D56" s="127"/>
      <c r="E56" s="146"/>
      <c r="F56" s="146"/>
      <c r="G56" s="146"/>
      <c r="H56" s="147"/>
      <c r="I56" s="147"/>
      <c r="J56" s="148"/>
      <c r="K56" s="59"/>
      <c r="L56" s="58"/>
    </row>
    <row r="57" spans="2:12" x14ac:dyDescent="0.25">
      <c r="B57" s="5"/>
      <c r="C57" s="150"/>
      <c r="D57" s="127"/>
      <c r="E57" s="146"/>
      <c r="F57" s="146"/>
      <c r="G57" s="146"/>
      <c r="H57" s="147"/>
      <c r="I57" s="147"/>
      <c r="J57" s="148"/>
      <c r="K57" s="59"/>
      <c r="L57" s="58"/>
    </row>
    <row r="58" spans="2:12" x14ac:dyDescent="0.25">
      <c r="B58" s="5"/>
      <c r="C58" s="150"/>
      <c r="D58" s="127"/>
      <c r="E58" s="146"/>
      <c r="F58" s="146"/>
      <c r="G58" s="146"/>
      <c r="H58" s="147"/>
      <c r="I58" s="147"/>
      <c r="J58" s="148"/>
      <c r="K58" s="59"/>
      <c r="L58" s="58"/>
    </row>
    <row r="59" spans="2:12" x14ac:dyDescent="0.25">
      <c r="B59" s="5"/>
      <c r="C59" s="150"/>
      <c r="D59" s="127"/>
      <c r="E59" s="146"/>
      <c r="F59" s="146"/>
      <c r="G59" s="146"/>
      <c r="H59" s="147"/>
      <c r="I59" s="147"/>
      <c r="J59" s="148"/>
      <c r="K59" s="59"/>
      <c r="L59" s="58"/>
    </row>
    <row r="60" spans="2:12" x14ac:dyDescent="0.25">
      <c r="B60" s="5"/>
      <c r="C60" s="150"/>
      <c r="D60" s="127"/>
      <c r="E60" s="146"/>
      <c r="F60" s="146"/>
      <c r="G60" s="146"/>
      <c r="H60" s="147"/>
      <c r="I60" s="147"/>
      <c r="J60" s="148"/>
      <c r="K60" s="59"/>
      <c r="L60" s="58"/>
    </row>
    <row r="61" spans="2:12" x14ac:dyDescent="0.25">
      <c r="B61" s="5"/>
      <c r="C61" s="150"/>
      <c r="D61" s="127"/>
      <c r="E61" s="146"/>
      <c r="F61" s="146"/>
      <c r="G61" s="146"/>
      <c r="H61" s="147"/>
      <c r="I61" s="147"/>
      <c r="J61" s="148"/>
      <c r="K61" s="59"/>
      <c r="L61" s="58"/>
    </row>
    <row r="62" spans="2:12" x14ac:dyDescent="0.25">
      <c r="B62" s="5"/>
      <c r="C62" s="150"/>
      <c r="D62" s="127"/>
      <c r="E62" s="146"/>
      <c r="F62" s="146"/>
      <c r="G62" s="146"/>
      <c r="H62" s="147"/>
      <c r="I62" s="147"/>
      <c r="J62" s="148"/>
      <c r="K62" s="59"/>
      <c r="L62" s="58"/>
    </row>
    <row r="63" spans="2:12" x14ac:dyDescent="0.25">
      <c r="B63" s="5"/>
      <c r="C63" s="150"/>
      <c r="D63" s="127"/>
      <c r="E63" s="146"/>
      <c r="F63" s="146"/>
      <c r="G63" s="146"/>
      <c r="H63" s="147"/>
      <c r="I63" s="147"/>
      <c r="J63" s="148"/>
      <c r="K63" s="59"/>
      <c r="L63" s="58"/>
    </row>
    <row r="64" spans="2:12" x14ac:dyDescent="0.25">
      <c r="B64" s="5"/>
      <c r="C64" s="150"/>
      <c r="D64" s="127"/>
      <c r="E64" s="146"/>
      <c r="F64" s="146"/>
      <c r="G64" s="146"/>
      <c r="H64" s="147"/>
      <c r="I64" s="147"/>
      <c r="J64" s="148"/>
      <c r="K64" s="59"/>
      <c r="L64" s="58"/>
    </row>
    <row r="65" spans="2:12" x14ac:dyDescent="0.25">
      <c r="B65" s="5"/>
      <c r="C65" s="150"/>
      <c r="D65" s="127"/>
      <c r="E65" s="146"/>
      <c r="F65" s="146"/>
      <c r="G65" s="146"/>
      <c r="H65" s="147"/>
      <c r="I65" s="147"/>
      <c r="J65" s="148"/>
      <c r="K65" s="59"/>
      <c r="L65" s="58"/>
    </row>
    <row r="66" spans="2:12" x14ac:dyDescent="0.25">
      <c r="B66" s="5"/>
      <c r="C66" s="150"/>
      <c r="D66" s="127"/>
      <c r="E66" s="146"/>
      <c r="F66" s="146"/>
      <c r="G66" s="146"/>
      <c r="H66" s="147"/>
      <c r="I66" s="147"/>
      <c r="J66" s="148"/>
      <c r="K66" s="59"/>
      <c r="L66" s="58"/>
    </row>
    <row r="67" spans="2:12" x14ac:dyDescent="0.25">
      <c r="B67" s="5"/>
      <c r="C67" s="150"/>
      <c r="D67" s="127"/>
      <c r="E67" s="146"/>
      <c r="F67" s="146"/>
      <c r="G67" s="146"/>
      <c r="H67" s="147"/>
      <c r="I67" s="147"/>
      <c r="J67" s="148"/>
      <c r="K67" s="59"/>
      <c r="L67" s="58"/>
    </row>
    <row r="68" spans="2:12" x14ac:dyDescent="0.25">
      <c r="B68" s="5"/>
      <c r="C68" s="150"/>
      <c r="D68" s="127"/>
      <c r="E68" s="146"/>
      <c r="F68" s="146"/>
      <c r="G68" s="146"/>
      <c r="H68" s="147"/>
      <c r="I68" s="147"/>
      <c r="J68" s="148"/>
      <c r="K68" s="59"/>
      <c r="L68" s="58"/>
    </row>
    <row r="69" spans="2:12" x14ac:dyDescent="0.25">
      <c r="B69" s="5"/>
      <c r="C69" s="150"/>
      <c r="D69" s="127"/>
      <c r="E69" s="146"/>
      <c r="F69" s="146"/>
      <c r="G69" s="146"/>
      <c r="H69" s="147"/>
      <c r="I69" s="147"/>
      <c r="J69" s="148"/>
      <c r="K69" s="59"/>
      <c r="L69" s="58"/>
    </row>
    <row r="70" spans="2:12" x14ac:dyDescent="0.25">
      <c r="B70" s="5"/>
      <c r="C70" s="150"/>
      <c r="D70" s="127"/>
      <c r="E70" s="146"/>
      <c r="F70" s="146"/>
      <c r="G70" s="146"/>
      <c r="H70" s="147"/>
      <c r="I70" s="147"/>
      <c r="J70" s="148"/>
      <c r="K70" s="59"/>
      <c r="L70" s="58"/>
    </row>
    <row r="71" spans="2:12" x14ac:dyDescent="0.25">
      <c r="B71" s="5"/>
      <c r="C71" s="150"/>
      <c r="D71" s="127"/>
      <c r="E71" s="146"/>
      <c r="F71" s="146"/>
      <c r="G71" s="146"/>
      <c r="H71" s="147"/>
      <c r="I71" s="147"/>
      <c r="J71" s="148"/>
      <c r="K71" s="59"/>
      <c r="L71" s="58"/>
    </row>
    <row r="72" spans="2:12" x14ac:dyDescent="0.25">
      <c r="B72" s="5"/>
      <c r="C72" s="150"/>
      <c r="D72" s="127"/>
      <c r="E72" s="146"/>
      <c r="F72" s="146"/>
      <c r="G72" s="146"/>
      <c r="H72" s="147"/>
      <c r="I72" s="147"/>
      <c r="J72" s="148"/>
      <c r="K72" s="59"/>
      <c r="L72" s="58"/>
    </row>
    <row r="73" spans="2:12" x14ac:dyDescent="0.25">
      <c r="B73" s="5"/>
      <c r="C73" s="150"/>
      <c r="D73" s="127"/>
      <c r="E73" s="146"/>
      <c r="F73" s="146"/>
      <c r="G73" s="146"/>
      <c r="H73" s="147"/>
      <c r="I73" s="147"/>
      <c r="J73" s="148"/>
      <c r="K73" s="59"/>
      <c r="L73" s="58"/>
    </row>
    <row r="74" spans="2:12" x14ac:dyDescent="0.25">
      <c r="B74" s="5"/>
      <c r="C74" s="150"/>
      <c r="D74" s="127"/>
      <c r="E74" s="146"/>
      <c r="F74" s="146"/>
      <c r="G74" s="146"/>
      <c r="H74" s="147"/>
      <c r="I74" s="147"/>
      <c r="J74" s="148"/>
      <c r="K74" s="59"/>
      <c r="L74" s="58"/>
    </row>
    <row r="75" spans="2:12" x14ac:dyDescent="0.25">
      <c r="B75" s="5"/>
      <c r="C75" s="150"/>
      <c r="D75" s="127"/>
      <c r="E75" s="146"/>
      <c r="F75" s="146"/>
      <c r="G75" s="146"/>
      <c r="H75" s="147"/>
      <c r="I75" s="147"/>
      <c r="J75" s="148"/>
      <c r="K75" s="59"/>
      <c r="L75" s="58"/>
    </row>
    <row r="76" spans="2:12" x14ac:dyDescent="0.25">
      <c r="B76" s="5"/>
      <c r="C76" s="150"/>
      <c r="D76" s="127"/>
      <c r="E76" s="146"/>
      <c r="F76" s="146"/>
      <c r="G76" s="146"/>
      <c r="H76" s="147"/>
      <c r="I76" s="147"/>
      <c r="J76" s="148"/>
      <c r="K76" s="59"/>
      <c r="L76" s="58"/>
    </row>
    <row r="77" spans="2:12" x14ac:dyDescent="0.25">
      <c r="B77" s="5"/>
      <c r="C77" s="150"/>
      <c r="D77" s="127"/>
      <c r="E77" s="146"/>
      <c r="F77" s="146"/>
      <c r="G77" s="146"/>
      <c r="H77" s="147"/>
      <c r="I77" s="147"/>
      <c r="J77" s="148"/>
      <c r="K77" s="59"/>
      <c r="L77" s="58"/>
    </row>
    <row r="78" spans="2:12" x14ac:dyDescent="0.25">
      <c r="B78" s="5"/>
      <c r="C78" s="150"/>
      <c r="D78" s="127"/>
      <c r="E78" s="146"/>
      <c r="F78" s="146"/>
      <c r="G78" s="146"/>
      <c r="H78" s="147"/>
      <c r="I78" s="147"/>
      <c r="J78" s="148"/>
      <c r="K78" s="59"/>
      <c r="L78" s="58"/>
    </row>
    <row r="79" spans="2:12" x14ac:dyDescent="0.25">
      <c r="B79" s="5"/>
      <c r="C79" s="150"/>
      <c r="D79" s="127"/>
      <c r="E79" s="146"/>
      <c r="F79" s="146"/>
      <c r="G79" s="146"/>
      <c r="H79" s="147"/>
      <c r="I79" s="147"/>
      <c r="J79" s="148"/>
      <c r="K79" s="59"/>
      <c r="L79" s="58"/>
    </row>
    <row r="80" spans="2:12" x14ac:dyDescent="0.25">
      <c r="B80" s="5"/>
      <c r="C80" s="150"/>
      <c r="D80" s="127"/>
      <c r="E80" s="146"/>
      <c r="F80" s="146"/>
      <c r="G80" s="146"/>
      <c r="H80" s="147"/>
      <c r="I80" s="147"/>
      <c r="J80" s="148"/>
      <c r="K80" s="59"/>
      <c r="L80" s="58"/>
    </row>
    <row r="81" spans="2:12" x14ac:dyDescent="0.25">
      <c r="B81" s="5"/>
      <c r="C81" s="150"/>
      <c r="D81" s="127"/>
      <c r="E81" s="146"/>
      <c r="F81" s="146"/>
      <c r="G81" s="146"/>
      <c r="H81" s="147"/>
      <c r="I81" s="147"/>
      <c r="J81" s="148"/>
      <c r="K81" s="59"/>
      <c r="L81" s="58"/>
    </row>
    <row r="82" spans="2:12" x14ac:dyDescent="0.25">
      <c r="B82" s="5"/>
      <c r="C82" s="150"/>
      <c r="D82" s="127"/>
      <c r="E82" s="146"/>
      <c r="F82" s="146"/>
      <c r="G82" s="146"/>
      <c r="H82" s="147"/>
      <c r="I82" s="147"/>
      <c r="J82" s="148"/>
      <c r="K82" s="59"/>
      <c r="L82" s="58"/>
    </row>
    <row r="83" spans="2:12" x14ac:dyDescent="0.25">
      <c r="B83" s="5"/>
      <c r="C83" s="150"/>
      <c r="D83" s="127"/>
      <c r="E83" s="146"/>
      <c r="F83" s="146"/>
      <c r="G83" s="146"/>
      <c r="H83" s="147"/>
      <c r="I83" s="147"/>
      <c r="J83" s="148"/>
      <c r="K83" s="59"/>
      <c r="L83" s="58"/>
    </row>
    <row r="84" spans="2:12" x14ac:dyDescent="0.25">
      <c r="B84" s="5"/>
      <c r="C84" s="150"/>
      <c r="D84" s="127"/>
      <c r="E84" s="146"/>
      <c r="F84" s="146"/>
      <c r="G84" s="146"/>
      <c r="H84" s="147"/>
      <c r="I84" s="147"/>
      <c r="J84" s="148"/>
      <c r="K84" s="59"/>
      <c r="L84" s="58"/>
    </row>
    <row r="85" spans="2:12" x14ac:dyDescent="0.25">
      <c r="B85" s="5"/>
      <c r="C85" s="150"/>
      <c r="D85" s="127"/>
      <c r="E85" s="146"/>
      <c r="F85" s="146"/>
      <c r="G85" s="146"/>
      <c r="H85" s="147"/>
      <c r="I85" s="147"/>
      <c r="J85" s="148"/>
      <c r="K85" s="59"/>
      <c r="L85" s="58"/>
    </row>
    <row r="86" spans="2:12" x14ac:dyDescent="0.25">
      <c r="B86" s="5"/>
      <c r="C86" s="150"/>
      <c r="D86" s="127"/>
      <c r="E86" s="146"/>
      <c r="F86" s="146"/>
      <c r="G86" s="146"/>
      <c r="H86" s="147"/>
      <c r="I86" s="147"/>
      <c r="J86" s="148"/>
      <c r="K86" s="59"/>
      <c r="L86" s="58"/>
    </row>
    <row r="87" spans="2:12" x14ac:dyDescent="0.25">
      <c r="B87" s="5"/>
      <c r="C87" s="150"/>
      <c r="D87" s="127"/>
      <c r="E87" s="146"/>
      <c r="F87" s="146"/>
      <c r="G87" s="146"/>
      <c r="H87" s="147"/>
      <c r="I87" s="147"/>
      <c r="J87" s="148"/>
      <c r="K87" s="59"/>
      <c r="L87" s="58"/>
    </row>
    <row r="88" spans="2:12" x14ac:dyDescent="0.25">
      <c r="B88" s="5"/>
      <c r="C88" s="150"/>
      <c r="D88" s="127"/>
      <c r="E88" s="146"/>
      <c r="F88" s="146"/>
      <c r="G88" s="146"/>
      <c r="H88" s="147"/>
      <c r="I88" s="147"/>
      <c r="J88" s="148"/>
      <c r="K88" s="59"/>
      <c r="L88" s="58"/>
    </row>
    <row r="89" spans="2:12" x14ac:dyDescent="0.25">
      <c r="B89" s="5"/>
      <c r="C89" s="150"/>
      <c r="D89" s="127"/>
      <c r="E89" s="146"/>
      <c r="F89" s="146"/>
      <c r="G89" s="146"/>
      <c r="H89" s="147"/>
      <c r="I89" s="147"/>
      <c r="J89" s="148"/>
      <c r="K89" s="59"/>
      <c r="L89" s="58"/>
    </row>
    <row r="90" spans="2:12" x14ac:dyDescent="0.25">
      <c r="B90" s="5"/>
      <c r="C90" s="150"/>
      <c r="D90" s="127"/>
      <c r="E90" s="146"/>
      <c r="F90" s="146"/>
      <c r="G90" s="146"/>
      <c r="H90" s="147"/>
      <c r="I90" s="147"/>
      <c r="J90" s="148"/>
      <c r="K90" s="59"/>
      <c r="L90" s="58"/>
    </row>
    <row r="91" spans="2:12" x14ac:dyDescent="0.25">
      <c r="B91" s="5"/>
      <c r="C91" s="150"/>
      <c r="D91" s="127"/>
      <c r="E91" s="146"/>
      <c r="F91" s="146"/>
      <c r="G91" s="146"/>
      <c r="H91" s="147"/>
      <c r="I91" s="147"/>
      <c r="J91" s="148"/>
      <c r="K91" s="59"/>
      <c r="L91" s="58"/>
    </row>
    <row r="92" spans="2:12" x14ac:dyDescent="0.25">
      <c r="B92" s="5"/>
      <c r="C92" s="150"/>
      <c r="D92" s="127"/>
      <c r="E92" s="146"/>
      <c r="F92" s="146"/>
      <c r="G92" s="146"/>
      <c r="H92" s="147"/>
      <c r="I92" s="147"/>
      <c r="J92" s="148"/>
      <c r="K92" s="59"/>
      <c r="L92" s="58"/>
    </row>
    <row r="93" spans="2:12" x14ac:dyDescent="0.25">
      <c r="B93" s="5"/>
      <c r="C93" s="150"/>
      <c r="D93" s="127"/>
      <c r="E93" s="146"/>
      <c r="F93" s="146"/>
      <c r="G93" s="146"/>
      <c r="H93" s="147"/>
      <c r="I93" s="147"/>
      <c r="J93" s="148"/>
      <c r="K93" s="59"/>
      <c r="L93" s="58"/>
    </row>
    <row r="94" spans="2:12" x14ac:dyDescent="0.25">
      <c r="B94" s="5"/>
      <c r="C94" s="150"/>
      <c r="D94" s="127"/>
      <c r="E94" s="146"/>
      <c r="F94" s="146"/>
      <c r="G94" s="146"/>
      <c r="H94" s="147"/>
      <c r="I94" s="147"/>
      <c r="J94" s="148"/>
      <c r="K94" s="59"/>
      <c r="L94" s="58"/>
    </row>
    <row r="95" spans="2:12" x14ac:dyDescent="0.25">
      <c r="B95" s="5"/>
      <c r="C95" s="150"/>
      <c r="D95" s="127"/>
      <c r="E95" s="146"/>
      <c r="F95" s="146"/>
      <c r="G95" s="146"/>
      <c r="H95" s="147"/>
      <c r="I95" s="147"/>
      <c r="J95" s="148"/>
      <c r="K95" s="59"/>
      <c r="L95" s="58"/>
    </row>
    <row r="96" spans="2:12" x14ac:dyDescent="0.25">
      <c r="B96" s="5"/>
      <c r="C96" s="150"/>
      <c r="D96" s="127"/>
      <c r="E96" s="146"/>
      <c r="F96" s="146"/>
      <c r="G96" s="146"/>
      <c r="H96" s="147"/>
      <c r="I96" s="147"/>
      <c r="J96" s="148"/>
      <c r="K96" s="59"/>
      <c r="L96" s="58"/>
    </row>
    <row r="97" spans="2:12" x14ac:dyDescent="0.25">
      <c r="B97" s="5"/>
      <c r="C97" s="150"/>
      <c r="D97" s="127"/>
      <c r="E97" s="146"/>
      <c r="F97" s="146"/>
      <c r="G97" s="146"/>
      <c r="H97" s="147"/>
      <c r="I97" s="147"/>
      <c r="J97" s="148"/>
      <c r="K97" s="59"/>
      <c r="L97" s="58"/>
    </row>
    <row r="98" spans="2:12" x14ac:dyDescent="0.25">
      <c r="B98" s="5"/>
      <c r="C98" s="150"/>
      <c r="D98" s="127"/>
      <c r="E98" s="146"/>
      <c r="F98" s="146"/>
      <c r="G98" s="146"/>
      <c r="H98" s="147"/>
      <c r="I98" s="147"/>
      <c r="J98" s="148"/>
      <c r="K98" s="59"/>
      <c r="L98" s="58"/>
    </row>
    <row r="99" spans="2:12" x14ac:dyDescent="0.25">
      <c r="B99" s="5"/>
      <c r="C99" s="150"/>
      <c r="D99" s="127"/>
      <c r="E99" s="146"/>
      <c r="F99" s="146"/>
      <c r="G99" s="146"/>
      <c r="H99" s="147"/>
      <c r="I99" s="147"/>
      <c r="J99" s="148"/>
      <c r="K99" s="59"/>
      <c r="L99" s="58"/>
    </row>
    <row r="100" spans="2:12" x14ac:dyDescent="0.25">
      <c r="B100" s="5"/>
      <c r="C100" s="121"/>
      <c r="D100" s="120"/>
      <c r="E100" s="149"/>
      <c r="F100" s="149"/>
      <c r="G100" s="149"/>
      <c r="H100" s="126"/>
      <c r="I100" s="126"/>
      <c r="J100" s="126"/>
      <c r="K100" s="59"/>
      <c r="L100" s="58"/>
    </row>
    <row r="101" spans="2:12" x14ac:dyDescent="0.25">
      <c r="B101" s="5"/>
      <c r="C101" s="121"/>
      <c r="D101" s="120"/>
      <c r="E101" s="149"/>
      <c r="F101" s="149"/>
      <c r="G101" s="149"/>
      <c r="H101" s="126"/>
      <c r="I101" s="126"/>
      <c r="J101" s="126"/>
      <c r="K101" s="59"/>
      <c r="L101" s="58"/>
    </row>
    <row r="102" spans="2:12" x14ac:dyDescent="0.25">
      <c r="B102" s="5"/>
      <c r="C102" s="121"/>
      <c r="D102" s="66" t="s">
        <v>59</v>
      </c>
      <c r="E102" s="58"/>
      <c r="F102" s="58"/>
      <c r="G102" s="58"/>
      <c r="H102" s="58"/>
      <c r="I102" s="58"/>
      <c r="J102" s="58"/>
      <c r="K102" s="59"/>
      <c r="L102" s="58"/>
    </row>
    <row r="103" spans="2:12" x14ac:dyDescent="0.25">
      <c r="B103" s="61"/>
      <c r="C103" s="124"/>
      <c r="D103" s="62"/>
      <c r="E103" s="62"/>
      <c r="F103" s="62"/>
      <c r="G103" s="62"/>
      <c r="H103" s="62"/>
      <c r="I103" s="62"/>
      <c r="J103" s="62"/>
      <c r="K103" s="63"/>
      <c r="L103" s="58"/>
    </row>
  </sheetData>
  <conditionalFormatting sqref="H51:I99">
    <cfRule type="cellIs" dxfId="22" priority="6" operator="equal">
      <formula>"Y"</formula>
    </cfRule>
  </conditionalFormatting>
  <conditionalFormatting sqref="H10:I50">
    <cfRule type="cellIs" dxfId="0" priority="1" operator="equal">
      <formula>"Y"</formula>
    </cfRule>
  </conditionalFormatting>
  <pageMargins left="0.7" right="0.7" top="0.75" bottom="0.75" header="0.3" footer="0.3"/>
  <pageSetup scale="8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2:AG123"/>
  <sheetViews>
    <sheetView showGridLines="0" zoomScaleNormal="100" workbookViewId="0"/>
  </sheetViews>
  <sheetFormatPr defaultColWidth="9.140625" defaultRowHeight="15" x14ac:dyDescent="0.25"/>
  <cols>
    <col min="1" max="1" width="2.7109375" style="20" customWidth="1"/>
    <col min="2" max="2" width="3.5703125" style="20" customWidth="1"/>
    <col min="3" max="3" width="34.7109375" style="20" bestFit="1" customWidth="1"/>
    <col min="4" max="4" width="32" style="20" customWidth="1"/>
    <col min="5" max="5" width="7.7109375" style="20" bestFit="1" customWidth="1"/>
    <col min="6" max="6" width="45.7109375" style="20" bestFit="1" customWidth="1"/>
    <col min="7" max="7" width="50.7109375" style="20" hidden="1" customWidth="1"/>
    <col min="8" max="8" width="11.85546875" style="20" customWidth="1"/>
    <col min="9" max="9" width="2.7109375" style="20" bestFit="1" customWidth="1"/>
    <col min="10" max="10" width="11" style="20" bestFit="1" customWidth="1"/>
    <col min="11" max="14" width="12.42578125" style="20" customWidth="1"/>
    <col min="15" max="15" width="2.7109375" style="20" bestFit="1" customWidth="1"/>
    <col min="16" max="16" width="10.5703125" style="20" bestFit="1" customWidth="1"/>
    <col min="17" max="20" width="12.42578125" style="20" customWidth="1"/>
    <col min="21" max="21" width="2.7109375" style="20" bestFit="1" customWidth="1"/>
    <col min="22" max="22" width="10.5703125" style="20" bestFit="1" customWidth="1"/>
    <col min="23" max="26" width="12.42578125" style="20" customWidth="1"/>
    <col min="27" max="27" width="2.28515625" style="20" bestFit="1" customWidth="1"/>
    <col min="28" max="28" width="10.5703125" style="20" bestFit="1" customWidth="1"/>
    <col min="29" max="32" width="12.42578125" style="20" customWidth="1"/>
    <col min="33" max="33" width="2.28515625" style="20" bestFit="1" customWidth="1"/>
    <col min="34" max="16384" width="9.140625" style="20"/>
  </cols>
  <sheetData>
    <row r="2" spans="2:33" ht="15" customHeight="1" x14ac:dyDescent="0.25">
      <c r="B2" s="4"/>
      <c r="C2" s="85" t="s">
        <v>39</v>
      </c>
      <c r="D2" s="86"/>
      <c r="E2" s="85">
        <f>DATA_DOWNLOADS!B2</f>
        <v>0</v>
      </c>
      <c r="F2" s="87">
        <f>DATA_DOWNLOADS!D2</f>
        <v>0</v>
      </c>
      <c r="J2" s="49"/>
      <c r="K2" s="49"/>
      <c r="L2" s="49"/>
      <c r="M2" s="49"/>
      <c r="N2" s="49"/>
    </row>
    <row r="3" spans="2:33" x14ac:dyDescent="0.25">
      <c r="B3" s="23"/>
      <c r="C3" s="50">
        <f>DATA_DOWNLOADS!C1</f>
        <v>0</v>
      </c>
      <c r="D3" s="88"/>
      <c r="E3" s="86"/>
      <c r="F3" s="89"/>
    </row>
    <row r="4" spans="2:33" ht="30" x14ac:dyDescent="0.25">
      <c r="B4" s="23"/>
      <c r="C4" s="25"/>
      <c r="D4" s="23"/>
      <c r="E4" s="24"/>
      <c r="F4" s="7"/>
      <c r="H4" s="16" t="s">
        <v>40</v>
      </c>
      <c r="I4" s="20" t="s">
        <v>47</v>
      </c>
      <c r="J4" s="157"/>
      <c r="K4" s="157"/>
      <c r="L4" s="157">
        <f>DATA_DOWNLOADS!F1</f>
        <v>0</v>
      </c>
      <c r="M4" s="157"/>
      <c r="N4" s="157"/>
      <c r="O4" s="20" t="s">
        <v>46</v>
      </c>
      <c r="P4" s="157"/>
      <c r="Q4" s="157"/>
      <c r="R4" s="157">
        <f>DATA_DOWNLOADS!K1</f>
        <v>0</v>
      </c>
      <c r="S4" s="157"/>
      <c r="T4" s="157"/>
      <c r="U4" s="20" t="s">
        <v>46</v>
      </c>
      <c r="V4" s="208">
        <f>DATA_DOWNLOADS!P1</f>
        <v>0</v>
      </c>
      <c r="W4" s="208"/>
      <c r="X4" s="208"/>
      <c r="Y4" s="208"/>
      <c r="Z4" s="208"/>
      <c r="AA4" s="20" t="s">
        <v>46</v>
      </c>
      <c r="AB4" s="208">
        <f>DATA_DOWNLOADS!U1</f>
        <v>0</v>
      </c>
      <c r="AC4" s="208"/>
      <c r="AD4" s="208"/>
      <c r="AE4" s="208"/>
      <c r="AF4" s="208"/>
      <c r="AG4" s="20" t="s">
        <v>46</v>
      </c>
    </row>
    <row r="5" spans="2:33" x14ac:dyDescent="0.25">
      <c r="B5" s="23"/>
      <c r="C5" s="25"/>
      <c r="D5" s="23"/>
      <c r="E5" s="24"/>
      <c r="F5" s="7"/>
      <c r="H5" s="19"/>
      <c r="I5" s="20" t="s">
        <v>48</v>
      </c>
      <c r="J5" s="29"/>
      <c r="K5" s="29"/>
      <c r="L5" s="29"/>
      <c r="M5" s="29"/>
      <c r="N5" s="29"/>
      <c r="P5" s="29"/>
      <c r="Q5" s="29"/>
      <c r="R5" s="29"/>
      <c r="S5" s="29"/>
      <c r="T5" s="29"/>
      <c r="V5" s="29"/>
      <c r="W5" s="29"/>
      <c r="X5" s="29"/>
      <c r="Y5" s="29"/>
      <c r="Z5" s="29"/>
      <c r="AB5" s="29"/>
      <c r="AC5" s="29"/>
      <c r="AD5" s="29"/>
      <c r="AE5" s="29"/>
      <c r="AF5" s="29"/>
    </row>
    <row r="6" spans="2:33" ht="45" x14ac:dyDescent="0.25">
      <c r="B6" s="23"/>
      <c r="C6" s="151"/>
      <c r="D6" s="23"/>
      <c r="E6" s="24"/>
      <c r="F6" s="49"/>
      <c r="H6" s="22" t="s">
        <v>36</v>
      </c>
      <c r="J6" s="21"/>
      <c r="K6" s="84">
        <f>DATA_DOWNLOADS!G1</f>
        <v>0</v>
      </c>
      <c r="L6" s="84">
        <f>DATA_DOWNLOADS!H1</f>
        <v>0</v>
      </c>
      <c r="M6" s="84">
        <f>DATA_DOWNLOADS!I1</f>
        <v>0</v>
      </c>
      <c r="N6" s="84">
        <f>DATA_DOWNLOADS!J1</f>
        <v>0</v>
      </c>
      <c r="P6" s="21"/>
      <c r="Q6" s="84">
        <f>DATA_DOWNLOADS!L1</f>
        <v>0</v>
      </c>
      <c r="R6" s="84">
        <f>DATA_DOWNLOADS!M1</f>
        <v>0</v>
      </c>
      <c r="S6" s="84">
        <f>DATA_DOWNLOADS!N1</f>
        <v>0</v>
      </c>
      <c r="T6" s="84">
        <f>DATA_DOWNLOADS!O1</f>
        <v>0</v>
      </c>
      <c r="V6" s="21"/>
      <c r="W6" s="84">
        <f>DATA_DOWNLOADS!Q1</f>
        <v>0</v>
      </c>
      <c r="X6" s="84">
        <f>DATA_DOWNLOADS!R1</f>
        <v>0</v>
      </c>
      <c r="Y6" s="84">
        <f>DATA_DOWNLOADS!S1</f>
        <v>0</v>
      </c>
      <c r="Z6" s="84">
        <f>DATA_DOWNLOADS!T1</f>
        <v>0</v>
      </c>
      <c r="AB6" s="21"/>
      <c r="AC6" s="84">
        <f>DATA_DOWNLOADS!V1</f>
        <v>0</v>
      </c>
      <c r="AD6" s="84">
        <f>DATA_DOWNLOADS!W1</f>
        <v>0</v>
      </c>
      <c r="AE6" s="84">
        <f>DATA_DOWNLOADS!X1</f>
        <v>0</v>
      </c>
      <c r="AF6" s="84">
        <f>DATA_DOWNLOADS!Y1</f>
        <v>0</v>
      </c>
      <c r="AG6" s="188"/>
    </row>
    <row r="7" spans="2:33" ht="30" x14ac:dyDescent="0.25">
      <c r="B7" s="23"/>
      <c r="C7" s="25" t="s">
        <v>64</v>
      </c>
      <c r="D7" s="23"/>
      <c r="E7" s="24"/>
      <c r="F7" s="18"/>
      <c r="H7" s="51" t="s">
        <v>41</v>
      </c>
      <c r="J7" s="52"/>
      <c r="K7" s="53">
        <f>DATA_DOWNLOADS!B3</f>
        <v>0</v>
      </c>
      <c r="L7" s="53">
        <f>DATA_DOWNLOADS!C3</f>
        <v>0</v>
      </c>
      <c r="M7" s="53">
        <f>DATA_DOWNLOADS!D3</f>
        <v>0</v>
      </c>
      <c r="N7" s="53">
        <f>DATA_DOWNLOADS!E3</f>
        <v>0</v>
      </c>
      <c r="P7" s="52"/>
      <c r="Q7" s="53">
        <f>DATA_DOWNLOADS!F3</f>
        <v>0</v>
      </c>
      <c r="R7" s="53">
        <f>DATA_DOWNLOADS!G3</f>
        <v>0</v>
      </c>
      <c r="S7" s="53">
        <f>DATA_DOWNLOADS!H3</f>
        <v>0</v>
      </c>
      <c r="T7" s="53">
        <f>DATA_DOWNLOADS!I3</f>
        <v>0</v>
      </c>
      <c r="V7" s="52"/>
      <c r="W7" s="53">
        <f>DATA_DOWNLOADS!J3</f>
        <v>0</v>
      </c>
      <c r="X7" s="53">
        <f>DATA_DOWNLOADS!K3</f>
        <v>0</v>
      </c>
      <c r="Y7" s="53">
        <f>DATA_DOWNLOADS!L3</f>
        <v>0</v>
      </c>
      <c r="Z7" s="53">
        <f>DATA_DOWNLOADS!M3</f>
        <v>0</v>
      </c>
      <c r="AB7" s="52"/>
      <c r="AC7" s="53">
        <f>DATA_DOWNLOADS!N3</f>
        <v>0</v>
      </c>
      <c r="AD7" s="53">
        <f>DATA_DOWNLOADS!O3</f>
        <v>0</v>
      </c>
      <c r="AE7" s="53">
        <f>DATA_DOWNLOADS!P3</f>
        <v>0</v>
      </c>
      <c r="AF7" s="53">
        <f>DATA_DOWNLOADS!Q3</f>
        <v>0</v>
      </c>
    </row>
    <row r="8" spans="2:33" x14ac:dyDescent="0.25">
      <c r="B8" s="24"/>
      <c r="C8" s="98" t="s">
        <v>158</v>
      </c>
      <c r="D8" s="118">
        <f>DATA_DOWNLOADS!D1</f>
        <v>0</v>
      </c>
      <c r="E8" s="24"/>
      <c r="J8" s="26"/>
      <c r="P8" s="26"/>
      <c r="V8" s="26"/>
      <c r="AB8" s="26"/>
    </row>
    <row r="9" spans="2:33" ht="30" x14ac:dyDescent="0.25">
      <c r="B9" s="28" t="s">
        <v>3</v>
      </c>
      <c r="C9" s="41" t="s">
        <v>62</v>
      </c>
      <c r="D9" s="67" t="s">
        <v>63</v>
      </c>
      <c r="E9" s="41" t="s">
        <v>4</v>
      </c>
      <c r="F9" s="41" t="s">
        <v>1</v>
      </c>
      <c r="G9" s="41"/>
      <c r="H9" s="42" t="s">
        <v>44</v>
      </c>
      <c r="I9" s="14" t="s">
        <v>45</v>
      </c>
      <c r="J9" s="43" t="s">
        <v>42</v>
      </c>
      <c r="K9" s="158"/>
      <c r="L9" s="158" t="s">
        <v>43</v>
      </c>
      <c r="M9" s="158"/>
      <c r="N9" s="158"/>
      <c r="O9" s="14"/>
      <c r="P9" s="43" t="s">
        <v>42</v>
      </c>
      <c r="Q9" s="158"/>
      <c r="R9" s="158" t="s">
        <v>43</v>
      </c>
      <c r="S9" s="158"/>
      <c r="T9" s="158"/>
      <c r="U9" s="14"/>
      <c r="V9" s="43" t="s">
        <v>42</v>
      </c>
      <c r="W9" s="209" t="s">
        <v>43</v>
      </c>
      <c r="X9" s="209"/>
      <c r="Y9" s="209"/>
      <c r="Z9" s="209"/>
      <c r="AA9" s="14"/>
      <c r="AB9" s="43" t="s">
        <v>42</v>
      </c>
      <c r="AC9" s="209" t="s">
        <v>43</v>
      </c>
      <c r="AD9" s="209"/>
      <c r="AE9" s="209"/>
      <c r="AF9" s="209"/>
      <c r="AG9" s="14"/>
    </row>
    <row r="10" spans="2:33" x14ac:dyDescent="0.25">
      <c r="B10" s="30"/>
      <c r="C10" s="31"/>
      <c r="D10" s="31"/>
      <c r="E10" s="32"/>
      <c r="F10" s="31"/>
      <c r="G10" s="31"/>
      <c r="H10" s="33"/>
      <c r="I10" s="17"/>
      <c r="J10" s="83"/>
      <c r="K10" s="54"/>
      <c r="L10" s="54"/>
      <c r="M10" s="54"/>
      <c r="N10" s="54"/>
      <c r="O10" s="17"/>
      <c r="P10" s="83"/>
      <c r="Q10" s="54"/>
      <c r="R10" s="54"/>
      <c r="S10" s="54"/>
      <c r="T10" s="54"/>
      <c r="U10" s="17"/>
      <c r="V10" s="83"/>
      <c r="W10" s="54"/>
      <c r="X10" s="54"/>
      <c r="Y10" s="54"/>
      <c r="Z10" s="54"/>
      <c r="AA10" s="17"/>
      <c r="AB10" s="83"/>
      <c r="AC10" s="54"/>
      <c r="AD10" s="54"/>
      <c r="AE10" s="54"/>
      <c r="AF10" s="54"/>
      <c r="AG10" s="17"/>
    </row>
    <row r="11" spans="2:33" x14ac:dyDescent="0.25">
      <c r="B11" s="34"/>
      <c r="C11" s="35"/>
      <c r="D11" s="36"/>
      <c r="E11" s="37"/>
      <c r="F11" s="36"/>
      <c r="G11" s="36"/>
      <c r="H11" s="38"/>
      <c r="I11" s="17"/>
      <c r="J11" s="83"/>
      <c r="K11" s="54"/>
      <c r="L11" s="54"/>
      <c r="M11" s="54"/>
      <c r="N11" s="54"/>
      <c r="O11" s="17"/>
      <c r="P11" s="83"/>
      <c r="Q11" s="54"/>
      <c r="R11" s="54"/>
      <c r="S11" s="54"/>
      <c r="T11" s="54"/>
      <c r="U11" s="17"/>
      <c r="V11" s="83"/>
      <c r="W11" s="54"/>
      <c r="X11" s="54"/>
      <c r="Y11" s="54"/>
      <c r="Z11" s="54"/>
      <c r="AA11" s="17"/>
      <c r="AB11" s="83"/>
      <c r="AC11" s="54"/>
      <c r="AD11" s="54"/>
      <c r="AE11" s="54"/>
      <c r="AF11" s="54"/>
      <c r="AG11" s="17"/>
    </row>
    <row r="12" spans="2:33" x14ac:dyDescent="0.25">
      <c r="B12" s="34"/>
      <c r="C12" s="36"/>
      <c r="D12" s="36"/>
      <c r="E12" s="37"/>
      <c r="F12" s="36"/>
      <c r="G12" s="36"/>
      <c r="H12" s="38"/>
      <c r="I12" s="17"/>
      <c r="J12" s="83"/>
      <c r="K12" s="54"/>
      <c r="L12" s="54"/>
      <c r="M12" s="54"/>
      <c r="N12" s="54"/>
      <c r="O12" s="17"/>
      <c r="P12" s="83"/>
      <c r="Q12" s="54"/>
      <c r="R12" s="54"/>
      <c r="S12" s="54"/>
      <c r="T12" s="54"/>
      <c r="U12" s="17"/>
      <c r="V12" s="83"/>
      <c r="W12" s="54"/>
      <c r="X12" s="54"/>
      <c r="Y12" s="54"/>
      <c r="Z12" s="54"/>
      <c r="AA12" s="17"/>
      <c r="AB12" s="83"/>
      <c r="AC12" s="54"/>
      <c r="AD12" s="54"/>
      <c r="AE12" s="54"/>
      <c r="AF12" s="54"/>
      <c r="AG12" s="17"/>
    </row>
    <row r="13" spans="2:33" x14ac:dyDescent="0.25">
      <c r="B13" s="34"/>
      <c r="C13" s="36"/>
      <c r="D13" s="36"/>
      <c r="E13" s="37"/>
      <c r="F13" s="36"/>
      <c r="G13" s="36"/>
      <c r="H13" s="38"/>
      <c r="I13" s="17"/>
      <c r="J13" s="83"/>
      <c r="K13" s="54"/>
      <c r="L13" s="54"/>
      <c r="M13" s="54"/>
      <c r="N13" s="54"/>
      <c r="O13" s="17"/>
      <c r="P13" s="83"/>
      <c r="Q13" s="54"/>
      <c r="R13" s="54"/>
      <c r="S13" s="54"/>
      <c r="T13" s="54"/>
      <c r="U13" s="17"/>
      <c r="V13" s="83"/>
      <c r="W13" s="54"/>
      <c r="X13" s="54"/>
      <c r="Y13" s="54"/>
      <c r="Z13" s="54"/>
      <c r="AA13" s="17"/>
      <c r="AB13" s="83"/>
      <c r="AC13" s="54"/>
      <c r="AD13" s="54"/>
      <c r="AE13" s="54"/>
      <c r="AF13" s="54"/>
      <c r="AG13" s="17"/>
    </row>
    <row r="14" spans="2:33" x14ac:dyDescent="0.25">
      <c r="B14" s="34"/>
      <c r="C14" s="36"/>
      <c r="D14" s="36"/>
      <c r="E14" s="37"/>
      <c r="F14" s="36"/>
      <c r="G14" s="36"/>
      <c r="H14" s="38"/>
      <c r="I14" s="17"/>
      <c r="J14" s="83"/>
      <c r="K14" s="54"/>
      <c r="L14" s="54"/>
      <c r="M14" s="54"/>
      <c r="N14" s="54"/>
      <c r="O14" s="17"/>
      <c r="P14" s="83"/>
      <c r="Q14" s="54"/>
      <c r="R14" s="54"/>
      <c r="S14" s="54"/>
      <c r="T14" s="54"/>
      <c r="U14" s="17"/>
      <c r="V14" s="83"/>
      <c r="W14" s="54"/>
      <c r="X14" s="54"/>
      <c r="Y14" s="54"/>
      <c r="Z14" s="54"/>
      <c r="AA14" s="17"/>
      <c r="AB14" s="83"/>
      <c r="AC14" s="54"/>
      <c r="AD14" s="54"/>
      <c r="AE14" s="54"/>
      <c r="AF14" s="54"/>
      <c r="AG14" s="17"/>
    </row>
    <row r="15" spans="2:33" x14ac:dyDescent="0.25">
      <c r="B15" s="34"/>
      <c r="C15" s="36"/>
      <c r="D15" s="36"/>
      <c r="E15" s="37"/>
      <c r="F15" s="36"/>
      <c r="G15" s="36"/>
      <c r="H15" s="38"/>
      <c r="I15" s="17"/>
      <c r="J15" s="83"/>
      <c r="K15" s="54"/>
      <c r="L15" s="54"/>
      <c r="M15" s="54"/>
      <c r="N15" s="54"/>
      <c r="O15" s="17"/>
      <c r="P15" s="83"/>
      <c r="Q15" s="54"/>
      <c r="R15" s="54"/>
      <c r="S15" s="54"/>
      <c r="T15" s="54"/>
      <c r="U15" s="17"/>
      <c r="V15" s="83"/>
      <c r="W15" s="54"/>
      <c r="X15" s="54"/>
      <c r="Y15" s="54"/>
      <c r="Z15" s="54"/>
      <c r="AA15" s="17"/>
      <c r="AB15" s="83"/>
      <c r="AC15" s="54"/>
      <c r="AD15" s="54"/>
      <c r="AE15" s="54"/>
      <c r="AF15" s="54"/>
      <c r="AG15" s="17"/>
    </row>
    <row r="16" spans="2:33" x14ac:dyDescent="0.25">
      <c r="B16" s="34"/>
      <c r="C16" s="36"/>
      <c r="D16" s="36"/>
      <c r="E16" s="37"/>
      <c r="F16" s="36"/>
      <c r="G16" s="36"/>
      <c r="H16" s="38"/>
      <c r="I16" s="17"/>
      <c r="J16" s="83"/>
      <c r="K16" s="54"/>
      <c r="L16" s="54"/>
      <c r="M16" s="54"/>
      <c r="N16" s="54"/>
      <c r="O16" s="17"/>
      <c r="P16" s="83"/>
      <c r="Q16" s="54"/>
      <c r="R16" s="54"/>
      <c r="S16" s="54"/>
      <c r="T16" s="54"/>
      <c r="U16" s="17"/>
      <c r="V16" s="83"/>
      <c r="W16" s="54"/>
      <c r="X16" s="54"/>
      <c r="Y16" s="54"/>
      <c r="Z16" s="54"/>
      <c r="AA16" s="17"/>
      <c r="AB16" s="83"/>
      <c r="AC16" s="54"/>
      <c r="AD16" s="54"/>
      <c r="AE16" s="54"/>
      <c r="AF16" s="54"/>
      <c r="AG16" s="17"/>
    </row>
    <row r="17" spans="2:33" x14ac:dyDescent="0.25">
      <c r="B17" s="34"/>
      <c r="C17" s="36"/>
      <c r="D17" s="36"/>
      <c r="E17" s="37"/>
      <c r="F17" s="36"/>
      <c r="G17" s="36"/>
      <c r="H17" s="38"/>
      <c r="I17" s="17"/>
      <c r="J17" s="83"/>
      <c r="K17" s="54"/>
      <c r="L17" s="54"/>
      <c r="M17" s="54"/>
      <c r="N17" s="54"/>
      <c r="O17" s="17"/>
      <c r="P17" s="83"/>
      <c r="Q17" s="54"/>
      <c r="R17" s="54"/>
      <c r="S17" s="54"/>
      <c r="T17" s="54"/>
      <c r="U17" s="17"/>
      <c r="V17" s="83"/>
      <c r="W17" s="54"/>
      <c r="X17" s="54"/>
      <c r="Y17" s="54"/>
      <c r="Z17" s="54"/>
      <c r="AA17" s="17"/>
      <c r="AB17" s="83"/>
      <c r="AC17" s="54"/>
      <c r="AD17" s="54"/>
      <c r="AE17" s="54"/>
      <c r="AF17" s="54"/>
      <c r="AG17" s="17"/>
    </row>
    <row r="18" spans="2:33" x14ac:dyDescent="0.25">
      <c r="B18" s="34"/>
      <c r="C18" s="36"/>
      <c r="D18" s="36"/>
      <c r="E18" s="37"/>
      <c r="F18" s="36"/>
      <c r="G18" s="36"/>
      <c r="H18" s="38"/>
      <c r="I18" s="17"/>
      <c r="J18" s="83"/>
      <c r="K18" s="54"/>
      <c r="L18" s="54"/>
      <c r="M18" s="54"/>
      <c r="N18" s="54"/>
      <c r="O18" s="17"/>
      <c r="P18" s="83"/>
      <c r="Q18" s="54"/>
      <c r="R18" s="54"/>
      <c r="S18" s="54"/>
      <c r="T18" s="54"/>
      <c r="U18" s="17"/>
      <c r="V18" s="83"/>
      <c r="W18" s="54"/>
      <c r="X18" s="54"/>
      <c r="Y18" s="54"/>
      <c r="Z18" s="54"/>
      <c r="AA18" s="17"/>
      <c r="AB18" s="83"/>
      <c r="AC18" s="54"/>
      <c r="AD18" s="54"/>
      <c r="AE18" s="54"/>
      <c r="AF18" s="54"/>
      <c r="AG18" s="17"/>
    </row>
    <row r="19" spans="2:33" x14ac:dyDescent="0.25">
      <c r="B19" s="34"/>
      <c r="C19" s="36"/>
      <c r="D19" s="36"/>
      <c r="E19" s="37"/>
      <c r="F19" s="36"/>
      <c r="G19" s="36"/>
      <c r="H19" s="38"/>
      <c r="I19" s="17"/>
      <c r="J19" s="83"/>
      <c r="K19" s="54"/>
      <c r="L19" s="54"/>
      <c r="M19" s="54"/>
      <c r="N19" s="54"/>
      <c r="O19" s="17"/>
      <c r="P19" s="83"/>
      <c r="Q19" s="54"/>
      <c r="R19" s="54"/>
      <c r="S19" s="54"/>
      <c r="T19" s="54"/>
      <c r="U19" s="17"/>
      <c r="V19" s="83"/>
      <c r="W19" s="54"/>
      <c r="X19" s="54"/>
      <c r="Y19" s="54"/>
      <c r="Z19" s="54"/>
      <c r="AA19" s="17"/>
      <c r="AB19" s="83"/>
      <c r="AC19" s="54"/>
      <c r="AD19" s="54"/>
      <c r="AE19" s="54"/>
      <c r="AF19" s="54"/>
      <c r="AG19" s="17"/>
    </row>
    <row r="20" spans="2:33" x14ac:dyDescent="0.25">
      <c r="B20" s="34"/>
      <c r="C20" s="36"/>
      <c r="D20" s="36"/>
      <c r="E20" s="37"/>
      <c r="F20" s="36"/>
      <c r="G20" s="36"/>
      <c r="H20" s="38"/>
      <c r="I20" s="17"/>
      <c r="J20" s="83"/>
      <c r="K20" s="54"/>
      <c r="L20" s="54"/>
      <c r="M20" s="54"/>
      <c r="N20" s="54"/>
      <c r="O20" s="17"/>
      <c r="P20" s="83"/>
      <c r="Q20" s="54"/>
      <c r="R20" s="54"/>
      <c r="S20" s="54"/>
      <c r="T20" s="54"/>
      <c r="U20" s="17"/>
      <c r="V20" s="83"/>
      <c r="W20" s="54"/>
      <c r="X20" s="54"/>
      <c r="Y20" s="54"/>
      <c r="Z20" s="54"/>
      <c r="AA20" s="17"/>
      <c r="AB20" s="83"/>
      <c r="AC20" s="54"/>
      <c r="AD20" s="54"/>
      <c r="AE20" s="54"/>
      <c r="AF20" s="54"/>
      <c r="AG20" s="17"/>
    </row>
    <row r="21" spans="2:33" x14ac:dyDescent="0.25">
      <c r="B21" s="34"/>
      <c r="C21" s="36"/>
      <c r="D21" s="36"/>
      <c r="E21" s="37"/>
      <c r="F21" s="36"/>
      <c r="G21" s="36"/>
      <c r="H21" s="38"/>
      <c r="I21" s="17"/>
      <c r="J21" s="83"/>
      <c r="K21" s="54"/>
      <c r="L21" s="54"/>
      <c r="M21" s="54"/>
      <c r="N21" s="54"/>
      <c r="O21" s="17"/>
      <c r="P21" s="83"/>
      <c r="Q21" s="54"/>
      <c r="R21" s="54"/>
      <c r="S21" s="54"/>
      <c r="T21" s="54"/>
      <c r="U21" s="17"/>
      <c r="V21" s="83"/>
      <c r="W21" s="54"/>
      <c r="X21" s="54"/>
      <c r="Y21" s="54"/>
      <c r="Z21" s="54"/>
      <c r="AA21" s="17"/>
      <c r="AB21" s="83"/>
      <c r="AC21" s="54"/>
      <c r="AD21" s="54"/>
      <c r="AE21" s="54"/>
      <c r="AF21" s="54"/>
      <c r="AG21" s="17"/>
    </row>
    <row r="22" spans="2:33" x14ac:dyDescent="0.25">
      <c r="B22" s="34"/>
      <c r="C22" s="36"/>
      <c r="D22" s="36"/>
      <c r="E22" s="37"/>
      <c r="F22" s="36"/>
      <c r="G22" s="36"/>
      <c r="H22" s="38"/>
      <c r="I22" s="17"/>
      <c r="J22" s="83"/>
      <c r="K22" s="54"/>
      <c r="L22" s="54"/>
      <c r="M22" s="54"/>
      <c r="N22" s="54"/>
      <c r="O22" s="17"/>
      <c r="P22" s="83"/>
      <c r="Q22" s="54"/>
      <c r="R22" s="54"/>
      <c r="S22" s="54"/>
      <c r="T22" s="54"/>
      <c r="U22" s="17"/>
      <c r="V22" s="83"/>
      <c r="W22" s="54"/>
      <c r="X22" s="54"/>
      <c r="Y22" s="54"/>
      <c r="Z22" s="54"/>
      <c r="AA22" s="17"/>
      <c r="AB22" s="83"/>
      <c r="AC22" s="54"/>
      <c r="AD22" s="54"/>
      <c r="AE22" s="54"/>
      <c r="AF22" s="54"/>
      <c r="AG22" s="17"/>
    </row>
    <row r="23" spans="2:33" x14ac:dyDescent="0.25">
      <c r="B23" s="34"/>
      <c r="C23" s="36"/>
      <c r="D23" s="36"/>
      <c r="E23" s="37"/>
      <c r="F23" s="36"/>
      <c r="G23" s="36"/>
      <c r="H23" s="38"/>
      <c r="I23" s="17"/>
      <c r="J23" s="83"/>
      <c r="K23" s="54"/>
      <c r="L23" s="54"/>
      <c r="M23" s="54"/>
      <c r="N23" s="54"/>
      <c r="O23" s="17"/>
      <c r="P23" s="83"/>
      <c r="Q23" s="54"/>
      <c r="R23" s="54"/>
      <c r="S23" s="54"/>
      <c r="T23" s="54"/>
      <c r="U23" s="17"/>
      <c r="V23" s="83"/>
      <c r="W23" s="54"/>
      <c r="X23" s="54"/>
      <c r="Y23" s="54"/>
      <c r="Z23" s="54"/>
      <c r="AA23" s="17"/>
      <c r="AB23" s="83"/>
      <c r="AC23" s="54"/>
      <c r="AD23" s="54"/>
      <c r="AE23" s="54"/>
      <c r="AF23" s="54"/>
      <c r="AG23" s="17"/>
    </row>
    <row r="24" spans="2:33" x14ac:dyDescent="0.25">
      <c r="B24" s="34"/>
      <c r="C24" s="36"/>
      <c r="D24" s="36"/>
      <c r="E24" s="37"/>
      <c r="F24" s="36"/>
      <c r="G24" s="36"/>
      <c r="H24" s="38"/>
      <c r="I24" s="17"/>
      <c r="J24" s="83"/>
      <c r="K24" s="54"/>
      <c r="L24" s="54"/>
      <c r="M24" s="54"/>
      <c r="N24" s="54"/>
      <c r="O24" s="17"/>
      <c r="P24" s="83"/>
      <c r="Q24" s="54"/>
      <c r="R24" s="54"/>
      <c r="S24" s="54"/>
      <c r="T24" s="54"/>
      <c r="U24" s="17"/>
      <c r="V24" s="83"/>
      <c r="W24" s="54"/>
      <c r="X24" s="54"/>
      <c r="Y24" s="54"/>
      <c r="Z24" s="54"/>
      <c r="AA24" s="17"/>
      <c r="AB24" s="83"/>
      <c r="AC24" s="54"/>
      <c r="AD24" s="54"/>
      <c r="AE24" s="54"/>
      <c r="AF24" s="54"/>
      <c r="AG24" s="17"/>
    </row>
    <row r="25" spans="2:33" x14ac:dyDescent="0.25">
      <c r="B25" s="34"/>
      <c r="C25" s="36"/>
      <c r="D25" s="36"/>
      <c r="E25" s="37"/>
      <c r="F25" s="36"/>
      <c r="G25" s="36"/>
      <c r="H25" s="38"/>
      <c r="I25" s="17"/>
      <c r="J25" s="83"/>
      <c r="K25" s="54"/>
      <c r="L25" s="54"/>
      <c r="M25" s="54"/>
      <c r="N25" s="54"/>
      <c r="O25" s="17"/>
      <c r="P25" s="83"/>
      <c r="Q25" s="54"/>
      <c r="R25" s="54"/>
      <c r="S25" s="54"/>
      <c r="T25" s="54"/>
      <c r="U25" s="17"/>
      <c r="V25" s="83"/>
      <c r="W25" s="54"/>
      <c r="X25" s="54"/>
      <c r="Y25" s="54"/>
      <c r="Z25" s="54"/>
      <c r="AA25" s="17"/>
      <c r="AB25" s="83"/>
      <c r="AC25" s="54"/>
      <c r="AD25" s="54"/>
      <c r="AE25" s="54"/>
      <c r="AF25" s="54"/>
      <c r="AG25" s="17"/>
    </row>
    <row r="26" spans="2:33" x14ac:dyDescent="0.25">
      <c r="B26" s="34"/>
      <c r="C26" s="36"/>
      <c r="D26" s="36"/>
      <c r="E26" s="37"/>
      <c r="F26" s="36"/>
      <c r="G26" s="36"/>
      <c r="H26" s="38"/>
      <c r="I26" s="17"/>
      <c r="J26" s="83"/>
      <c r="K26" s="54"/>
      <c r="L26" s="54"/>
      <c r="M26" s="54"/>
      <c r="N26" s="54"/>
      <c r="O26" s="17"/>
      <c r="P26" s="83"/>
      <c r="Q26" s="54"/>
      <c r="R26" s="54"/>
      <c r="S26" s="54"/>
      <c r="T26" s="54"/>
      <c r="U26" s="17"/>
      <c r="V26" s="83"/>
      <c r="W26" s="54"/>
      <c r="X26" s="54"/>
      <c r="Y26" s="54"/>
      <c r="Z26" s="54"/>
      <c r="AA26" s="17"/>
      <c r="AB26" s="83"/>
      <c r="AC26" s="54"/>
      <c r="AD26" s="54"/>
      <c r="AE26" s="54"/>
      <c r="AF26" s="54"/>
      <c r="AG26" s="17"/>
    </row>
    <row r="27" spans="2:33" x14ac:dyDescent="0.25">
      <c r="B27" s="34"/>
      <c r="C27" s="35"/>
      <c r="D27" s="36"/>
      <c r="E27" s="37"/>
      <c r="F27" s="36"/>
      <c r="G27" s="36"/>
      <c r="H27" s="38"/>
      <c r="I27" s="17"/>
      <c r="J27" s="83"/>
      <c r="K27" s="54"/>
      <c r="L27" s="54"/>
      <c r="M27" s="54"/>
      <c r="N27" s="54"/>
      <c r="O27" s="17"/>
      <c r="P27" s="83"/>
      <c r="Q27" s="54"/>
      <c r="R27" s="54"/>
      <c r="S27" s="54"/>
      <c r="T27" s="54"/>
      <c r="U27" s="17"/>
      <c r="V27" s="83"/>
      <c r="W27" s="54"/>
      <c r="X27" s="54"/>
      <c r="Y27" s="54"/>
      <c r="Z27" s="54"/>
      <c r="AA27" s="17"/>
      <c r="AB27" s="83"/>
      <c r="AC27" s="54"/>
      <c r="AD27" s="54"/>
      <c r="AE27" s="54"/>
      <c r="AF27" s="54"/>
      <c r="AG27" s="17"/>
    </row>
    <row r="28" spans="2:33" x14ac:dyDescent="0.25">
      <c r="B28" s="34"/>
      <c r="C28" s="35"/>
      <c r="D28" s="36"/>
      <c r="E28" s="37"/>
      <c r="F28" s="36"/>
      <c r="G28" s="36"/>
      <c r="H28" s="38"/>
      <c r="I28" s="17"/>
      <c r="J28" s="83"/>
      <c r="K28" s="54"/>
      <c r="L28" s="54"/>
      <c r="M28" s="54"/>
      <c r="N28" s="54"/>
      <c r="O28" s="17"/>
      <c r="P28" s="83"/>
      <c r="Q28" s="54"/>
      <c r="R28" s="54"/>
      <c r="S28" s="54"/>
      <c r="T28" s="54"/>
      <c r="U28" s="17"/>
      <c r="V28" s="83"/>
      <c r="W28" s="54"/>
      <c r="X28" s="54"/>
      <c r="Y28" s="54"/>
      <c r="Z28" s="54"/>
      <c r="AA28" s="17"/>
      <c r="AB28" s="83"/>
      <c r="AC28" s="54"/>
      <c r="AD28" s="54"/>
      <c r="AE28" s="54"/>
      <c r="AF28" s="54"/>
      <c r="AG28" s="17"/>
    </row>
    <row r="29" spans="2:33" x14ac:dyDescent="0.25">
      <c r="B29" s="34"/>
      <c r="C29" s="36"/>
      <c r="D29" s="36"/>
      <c r="E29" s="37"/>
      <c r="F29" s="36"/>
      <c r="G29" s="36"/>
      <c r="H29" s="38"/>
      <c r="I29" s="17"/>
      <c r="J29" s="83"/>
      <c r="K29" s="54"/>
      <c r="L29" s="54"/>
      <c r="M29" s="54"/>
      <c r="N29" s="54"/>
      <c r="O29" s="17"/>
      <c r="P29" s="83"/>
      <c r="Q29" s="54"/>
      <c r="R29" s="54"/>
      <c r="S29" s="54"/>
      <c r="T29" s="54"/>
      <c r="U29" s="17"/>
      <c r="V29" s="83"/>
      <c r="W29" s="54"/>
      <c r="X29" s="54"/>
      <c r="Y29" s="54"/>
      <c r="Z29" s="54"/>
      <c r="AA29" s="17"/>
      <c r="AB29" s="83"/>
      <c r="AC29" s="54"/>
      <c r="AD29" s="54"/>
      <c r="AE29" s="54"/>
      <c r="AF29" s="54"/>
      <c r="AG29" s="17"/>
    </row>
    <row r="30" spans="2:33" x14ac:dyDescent="0.25">
      <c r="B30" s="34"/>
      <c r="C30" s="36"/>
      <c r="D30" s="36"/>
      <c r="E30" s="37"/>
      <c r="F30" s="36"/>
      <c r="G30" s="36"/>
      <c r="H30" s="38"/>
      <c r="I30" s="17"/>
      <c r="J30" s="83"/>
      <c r="K30" s="54"/>
      <c r="L30" s="54"/>
      <c r="M30" s="54"/>
      <c r="N30" s="54"/>
      <c r="O30" s="17"/>
      <c r="P30" s="83"/>
      <c r="Q30" s="54"/>
      <c r="R30" s="54"/>
      <c r="S30" s="54"/>
      <c r="T30" s="54"/>
      <c r="U30" s="17"/>
      <c r="V30" s="83"/>
      <c r="W30" s="54"/>
      <c r="X30" s="54"/>
      <c r="Y30" s="54"/>
      <c r="Z30" s="54"/>
      <c r="AA30" s="17"/>
      <c r="AB30" s="83"/>
      <c r="AC30" s="54"/>
      <c r="AD30" s="54"/>
      <c r="AE30" s="54"/>
      <c r="AF30" s="54"/>
      <c r="AG30" s="17"/>
    </row>
    <row r="31" spans="2:33" x14ac:dyDescent="0.25">
      <c r="B31" s="34"/>
      <c r="C31" s="36"/>
      <c r="D31" s="36"/>
      <c r="E31" s="37"/>
      <c r="F31" s="36"/>
      <c r="G31" s="36"/>
      <c r="H31" s="38"/>
      <c r="I31" s="17"/>
      <c r="J31" s="83"/>
      <c r="K31" s="54"/>
      <c r="L31" s="54"/>
      <c r="M31" s="54"/>
      <c r="N31" s="54"/>
      <c r="O31" s="17"/>
      <c r="P31" s="83"/>
      <c r="Q31" s="54"/>
      <c r="R31" s="54"/>
      <c r="S31" s="54"/>
      <c r="T31" s="54"/>
      <c r="U31" s="17"/>
      <c r="V31" s="83"/>
      <c r="W31" s="54"/>
      <c r="X31" s="54"/>
      <c r="Y31" s="54"/>
      <c r="Z31" s="54"/>
      <c r="AA31" s="17"/>
      <c r="AB31" s="83"/>
      <c r="AC31" s="54"/>
      <c r="AD31" s="54"/>
      <c r="AE31" s="54"/>
      <c r="AF31" s="54"/>
      <c r="AG31" s="17"/>
    </row>
    <row r="32" spans="2:33" x14ac:dyDescent="0.25">
      <c r="B32" s="34"/>
      <c r="C32" s="36"/>
      <c r="D32" s="36"/>
      <c r="E32" s="37"/>
      <c r="F32" s="36"/>
      <c r="G32" s="36"/>
      <c r="H32" s="38"/>
      <c r="I32" s="17"/>
      <c r="J32" s="83"/>
      <c r="K32" s="54"/>
      <c r="L32" s="54"/>
      <c r="M32" s="54"/>
      <c r="N32" s="54"/>
      <c r="O32" s="17"/>
      <c r="P32" s="83"/>
      <c r="Q32" s="54"/>
      <c r="R32" s="54"/>
      <c r="S32" s="54"/>
      <c r="T32" s="54"/>
      <c r="U32" s="17"/>
      <c r="V32" s="83"/>
      <c r="W32" s="54"/>
      <c r="X32" s="54"/>
      <c r="Y32" s="54"/>
      <c r="Z32" s="54"/>
      <c r="AA32" s="17"/>
      <c r="AB32" s="83"/>
      <c r="AC32" s="54"/>
      <c r="AD32" s="54"/>
      <c r="AE32" s="54"/>
      <c r="AF32" s="54"/>
      <c r="AG32" s="17"/>
    </row>
    <row r="33" spans="2:33" x14ac:dyDescent="0.25">
      <c r="B33" s="34"/>
      <c r="C33" s="36"/>
      <c r="D33" s="36"/>
      <c r="E33" s="37"/>
      <c r="F33" s="36"/>
      <c r="G33" s="36"/>
      <c r="H33" s="38"/>
      <c r="I33" s="17"/>
      <c r="J33" s="83"/>
      <c r="K33" s="54"/>
      <c r="L33" s="54"/>
      <c r="M33" s="54"/>
      <c r="N33" s="54"/>
      <c r="O33" s="17"/>
      <c r="P33" s="83"/>
      <c r="Q33" s="54"/>
      <c r="R33" s="54"/>
      <c r="S33" s="54"/>
      <c r="T33" s="54"/>
      <c r="U33" s="17"/>
      <c r="V33" s="83"/>
      <c r="W33" s="54"/>
      <c r="X33" s="54"/>
      <c r="Y33" s="54"/>
      <c r="Z33" s="54"/>
      <c r="AA33" s="17"/>
      <c r="AB33" s="83"/>
      <c r="AC33" s="54"/>
      <c r="AD33" s="54"/>
      <c r="AE33" s="54"/>
      <c r="AF33" s="54"/>
      <c r="AG33" s="17"/>
    </row>
    <row r="34" spans="2:33" x14ac:dyDescent="0.25">
      <c r="B34" s="34"/>
      <c r="C34" s="36"/>
      <c r="D34" s="36"/>
      <c r="E34" s="37"/>
      <c r="F34" s="36"/>
      <c r="G34" s="36"/>
      <c r="H34" s="38"/>
      <c r="I34" s="17"/>
      <c r="J34" s="83"/>
      <c r="K34" s="54"/>
      <c r="L34" s="54"/>
      <c r="M34" s="54"/>
      <c r="N34" s="54"/>
      <c r="O34" s="17"/>
      <c r="P34" s="83"/>
      <c r="Q34" s="54"/>
      <c r="R34" s="54"/>
      <c r="S34" s="54"/>
      <c r="T34" s="54"/>
      <c r="U34" s="17"/>
      <c r="V34" s="83"/>
      <c r="W34" s="54"/>
      <c r="X34" s="54"/>
      <c r="Y34" s="54"/>
      <c r="Z34" s="54"/>
      <c r="AA34" s="17"/>
      <c r="AB34" s="83"/>
      <c r="AC34" s="54"/>
      <c r="AD34" s="54"/>
      <c r="AE34" s="54"/>
      <c r="AF34" s="54"/>
      <c r="AG34" s="17"/>
    </row>
    <row r="35" spans="2:33" x14ac:dyDescent="0.25">
      <c r="B35" s="34"/>
      <c r="C35" s="36"/>
      <c r="D35" s="36"/>
      <c r="E35" s="37"/>
      <c r="F35" s="36"/>
      <c r="G35" s="36"/>
      <c r="H35" s="38"/>
      <c r="I35" s="17"/>
      <c r="J35" s="83"/>
      <c r="K35" s="54"/>
      <c r="L35" s="54"/>
      <c r="M35" s="54"/>
      <c r="N35" s="54"/>
      <c r="O35" s="17"/>
      <c r="P35" s="83"/>
      <c r="Q35" s="54"/>
      <c r="R35" s="54"/>
      <c r="S35" s="54"/>
      <c r="T35" s="54"/>
      <c r="U35" s="17"/>
      <c r="V35" s="83"/>
      <c r="W35" s="54"/>
      <c r="X35" s="54"/>
      <c r="Y35" s="54"/>
      <c r="Z35" s="54"/>
      <c r="AA35" s="17"/>
      <c r="AB35" s="83"/>
      <c r="AC35" s="54"/>
      <c r="AD35" s="54"/>
      <c r="AE35" s="54"/>
      <c r="AF35" s="54"/>
      <c r="AG35" s="17"/>
    </row>
    <row r="36" spans="2:33" x14ac:dyDescent="0.25">
      <c r="B36" s="34"/>
      <c r="C36" s="36"/>
      <c r="D36" s="36"/>
      <c r="E36" s="37"/>
      <c r="F36" s="36"/>
      <c r="G36" s="36"/>
      <c r="H36" s="38"/>
      <c r="I36" s="17"/>
      <c r="J36" s="83"/>
      <c r="K36" s="54"/>
      <c r="L36" s="54"/>
      <c r="M36" s="54"/>
      <c r="N36" s="54"/>
      <c r="O36" s="17"/>
      <c r="P36" s="83"/>
      <c r="Q36" s="54"/>
      <c r="R36" s="54"/>
      <c r="S36" s="54"/>
      <c r="T36" s="54"/>
      <c r="U36" s="17"/>
      <c r="V36" s="83"/>
      <c r="W36" s="54"/>
      <c r="X36" s="54"/>
      <c r="Y36" s="54"/>
      <c r="Z36" s="54"/>
      <c r="AA36" s="17"/>
      <c r="AB36" s="83"/>
      <c r="AC36" s="54"/>
      <c r="AD36" s="54"/>
      <c r="AE36" s="54"/>
      <c r="AF36" s="54"/>
      <c r="AG36" s="17"/>
    </row>
    <row r="37" spans="2:33" x14ac:dyDescent="0.25">
      <c r="B37" s="34"/>
      <c r="C37" s="35"/>
      <c r="D37" s="36"/>
      <c r="E37" s="37"/>
      <c r="F37" s="36"/>
      <c r="G37" s="36"/>
      <c r="H37" s="38"/>
      <c r="I37" s="17"/>
      <c r="J37" s="83"/>
      <c r="K37" s="54"/>
      <c r="L37" s="54"/>
      <c r="M37" s="54"/>
      <c r="N37" s="54"/>
      <c r="O37" s="17"/>
      <c r="P37" s="83"/>
      <c r="Q37" s="54"/>
      <c r="R37" s="54"/>
      <c r="S37" s="54"/>
      <c r="T37" s="54"/>
      <c r="U37" s="17"/>
      <c r="V37" s="83"/>
      <c r="W37" s="54"/>
      <c r="X37" s="54"/>
      <c r="Y37" s="54"/>
      <c r="Z37" s="54"/>
      <c r="AA37" s="17"/>
      <c r="AB37" s="83"/>
      <c r="AC37" s="54"/>
      <c r="AD37" s="54"/>
      <c r="AE37" s="54"/>
      <c r="AF37" s="54"/>
      <c r="AG37" s="17"/>
    </row>
    <row r="38" spans="2:33" x14ac:dyDescent="0.25">
      <c r="B38" s="34"/>
      <c r="C38" s="36"/>
      <c r="D38" s="36"/>
      <c r="E38" s="37"/>
      <c r="F38" s="36"/>
      <c r="G38" s="36"/>
      <c r="H38" s="38"/>
      <c r="I38" s="17"/>
      <c r="J38" s="83"/>
      <c r="K38" s="54"/>
      <c r="L38" s="54"/>
      <c r="M38" s="54"/>
      <c r="N38" s="54"/>
      <c r="O38" s="17"/>
      <c r="P38" s="83"/>
      <c r="Q38" s="54"/>
      <c r="R38" s="54"/>
      <c r="S38" s="54"/>
      <c r="T38" s="54"/>
      <c r="U38" s="17"/>
      <c r="V38" s="83"/>
      <c r="W38" s="54"/>
      <c r="X38" s="54"/>
      <c r="Y38" s="54"/>
      <c r="Z38" s="54"/>
      <c r="AA38" s="17"/>
      <c r="AB38" s="83"/>
      <c r="AC38" s="54"/>
      <c r="AD38" s="54"/>
      <c r="AE38" s="54"/>
      <c r="AF38" s="54"/>
      <c r="AG38" s="17"/>
    </row>
    <row r="39" spans="2:33" x14ac:dyDescent="0.25">
      <c r="B39" s="34"/>
      <c r="C39" s="36"/>
      <c r="D39" s="36"/>
      <c r="E39" s="37"/>
      <c r="F39" s="36"/>
      <c r="G39" s="36"/>
      <c r="H39" s="38"/>
      <c r="I39" s="17"/>
      <c r="J39" s="83"/>
      <c r="K39" s="54"/>
      <c r="L39" s="54"/>
      <c r="M39" s="54"/>
      <c r="N39" s="54"/>
      <c r="O39" s="17"/>
      <c r="P39" s="83"/>
      <c r="Q39" s="54"/>
      <c r="R39" s="54"/>
      <c r="S39" s="54"/>
      <c r="T39" s="54"/>
      <c r="U39" s="17"/>
      <c r="V39" s="83"/>
      <c r="W39" s="54"/>
      <c r="X39" s="54"/>
      <c r="Y39" s="54"/>
      <c r="Z39" s="54"/>
      <c r="AA39" s="17"/>
      <c r="AB39" s="83"/>
      <c r="AC39" s="54"/>
      <c r="AD39" s="54"/>
      <c r="AE39" s="54"/>
      <c r="AF39" s="54"/>
      <c r="AG39" s="17"/>
    </row>
    <row r="40" spans="2:33" x14ac:dyDescent="0.25">
      <c r="B40" s="34"/>
      <c r="C40" s="36"/>
      <c r="D40" s="36"/>
      <c r="E40" s="37"/>
      <c r="F40" s="36"/>
      <c r="G40" s="36"/>
      <c r="H40" s="38"/>
      <c r="I40" s="17"/>
      <c r="J40" s="83"/>
      <c r="K40" s="54"/>
      <c r="L40" s="54"/>
      <c r="M40" s="54"/>
      <c r="N40" s="54"/>
      <c r="O40" s="17"/>
      <c r="P40" s="83"/>
      <c r="Q40" s="54"/>
      <c r="R40" s="54"/>
      <c r="S40" s="54"/>
      <c r="T40" s="54"/>
      <c r="U40" s="17"/>
      <c r="V40" s="83"/>
      <c r="W40" s="54"/>
      <c r="X40" s="54"/>
      <c r="Y40" s="54"/>
      <c r="Z40" s="54"/>
      <c r="AA40" s="17"/>
      <c r="AB40" s="83"/>
      <c r="AC40" s="54"/>
      <c r="AD40" s="54"/>
      <c r="AE40" s="54"/>
      <c r="AF40" s="54"/>
      <c r="AG40" s="17"/>
    </row>
    <row r="41" spans="2:33" x14ac:dyDescent="0.25">
      <c r="B41" s="34"/>
      <c r="C41" s="36"/>
      <c r="D41" s="36"/>
      <c r="E41" s="37"/>
      <c r="F41" s="36"/>
      <c r="G41" s="36"/>
      <c r="H41" s="38"/>
      <c r="I41" s="17"/>
      <c r="J41" s="83"/>
      <c r="K41" s="54"/>
      <c r="L41" s="54"/>
      <c r="M41" s="54"/>
      <c r="N41" s="54"/>
      <c r="O41" s="17"/>
      <c r="P41" s="83"/>
      <c r="Q41" s="54"/>
      <c r="R41" s="54"/>
      <c r="S41" s="54"/>
      <c r="T41" s="54"/>
      <c r="U41" s="17"/>
      <c r="V41" s="83"/>
      <c r="W41" s="54"/>
      <c r="X41" s="54"/>
      <c r="Y41" s="54"/>
      <c r="Z41" s="54"/>
      <c r="AA41" s="17"/>
      <c r="AB41" s="83"/>
      <c r="AC41" s="54"/>
      <c r="AD41" s="54"/>
      <c r="AE41" s="54"/>
      <c r="AF41" s="54"/>
      <c r="AG41" s="17"/>
    </row>
    <row r="42" spans="2:33" x14ac:dyDescent="0.25">
      <c r="B42" s="34"/>
      <c r="C42" s="36"/>
      <c r="D42" s="36"/>
      <c r="E42" s="37"/>
      <c r="F42" s="36"/>
      <c r="G42" s="36"/>
      <c r="H42" s="38"/>
      <c r="I42" s="17"/>
      <c r="J42" s="83"/>
      <c r="K42" s="54"/>
      <c r="L42" s="54"/>
      <c r="M42" s="54"/>
      <c r="N42" s="54"/>
      <c r="O42" s="17"/>
      <c r="P42" s="83"/>
      <c r="Q42" s="54"/>
      <c r="R42" s="54"/>
      <c r="S42" s="54"/>
      <c r="T42" s="54"/>
      <c r="U42" s="17"/>
      <c r="V42" s="83"/>
      <c r="W42" s="54"/>
      <c r="X42" s="54"/>
      <c r="Y42" s="54"/>
      <c r="Z42" s="54"/>
      <c r="AA42" s="17"/>
      <c r="AB42" s="83"/>
      <c r="AC42" s="54"/>
      <c r="AD42" s="54"/>
      <c r="AE42" s="54"/>
      <c r="AF42" s="54"/>
      <c r="AG42" s="17"/>
    </row>
    <row r="43" spans="2:33" x14ac:dyDescent="0.25">
      <c r="B43" s="34"/>
      <c r="C43" s="35"/>
      <c r="D43" s="36"/>
      <c r="E43" s="37"/>
      <c r="F43" s="36"/>
      <c r="G43" s="36"/>
      <c r="H43" s="38"/>
      <c r="I43" s="17"/>
      <c r="J43" s="83"/>
      <c r="K43" s="54"/>
      <c r="L43" s="54"/>
      <c r="M43" s="54"/>
      <c r="N43" s="54"/>
      <c r="O43" s="17"/>
      <c r="P43" s="83"/>
      <c r="Q43" s="54"/>
      <c r="R43" s="54"/>
      <c r="S43" s="54"/>
      <c r="T43" s="54"/>
      <c r="U43" s="17"/>
      <c r="V43" s="83"/>
      <c r="W43" s="54"/>
      <c r="X43" s="54"/>
      <c r="Y43" s="54"/>
      <c r="Z43" s="54"/>
      <c r="AA43" s="17"/>
      <c r="AB43" s="83"/>
      <c r="AC43" s="54"/>
      <c r="AD43" s="54"/>
      <c r="AE43" s="54"/>
      <c r="AF43" s="54"/>
      <c r="AG43" s="17"/>
    </row>
    <row r="44" spans="2:33" x14ac:dyDescent="0.25">
      <c r="B44" s="34"/>
      <c r="C44" s="36"/>
      <c r="D44" s="36"/>
      <c r="E44" s="37"/>
      <c r="F44" s="36"/>
      <c r="G44" s="36"/>
      <c r="H44" s="38"/>
      <c r="I44" s="17"/>
      <c r="J44" s="83"/>
      <c r="K44" s="54"/>
      <c r="L44" s="54"/>
      <c r="M44" s="54"/>
      <c r="N44" s="54"/>
      <c r="O44" s="17"/>
      <c r="P44" s="83"/>
      <c r="Q44" s="54"/>
      <c r="R44" s="54"/>
      <c r="S44" s="54"/>
      <c r="T44" s="54"/>
      <c r="U44" s="17"/>
      <c r="V44" s="83"/>
      <c r="W44" s="54"/>
      <c r="X44" s="54"/>
      <c r="Y44" s="54"/>
      <c r="Z44" s="54"/>
      <c r="AA44" s="17"/>
      <c r="AB44" s="83"/>
      <c r="AC44" s="54"/>
      <c r="AD44" s="54"/>
      <c r="AE44" s="54"/>
      <c r="AF44" s="54"/>
      <c r="AG44" s="17"/>
    </row>
    <row r="45" spans="2:33" ht="15.95" customHeight="1" x14ac:dyDescent="0.25">
      <c r="B45" s="34"/>
      <c r="C45" s="35"/>
      <c r="D45" s="36"/>
      <c r="E45" s="37"/>
      <c r="F45" s="36"/>
      <c r="G45" s="36"/>
      <c r="H45" s="38"/>
      <c r="I45" s="17"/>
      <c r="J45" s="83"/>
      <c r="K45" s="54"/>
      <c r="L45" s="54"/>
      <c r="M45" s="54"/>
      <c r="N45" s="54"/>
      <c r="O45" s="17"/>
      <c r="P45" s="83"/>
      <c r="Q45" s="54"/>
      <c r="R45" s="54"/>
      <c r="S45" s="54"/>
      <c r="T45" s="54"/>
      <c r="U45" s="17"/>
      <c r="V45" s="83"/>
      <c r="W45" s="54"/>
      <c r="X45" s="54"/>
      <c r="Y45" s="54"/>
      <c r="Z45" s="54"/>
      <c r="AA45" s="17"/>
      <c r="AB45" s="83"/>
      <c r="AC45" s="54"/>
      <c r="AD45" s="54"/>
      <c r="AE45" s="54"/>
      <c r="AF45" s="54"/>
      <c r="AG45" s="17"/>
    </row>
    <row r="46" spans="2:33" x14ac:dyDescent="0.25">
      <c r="B46" s="34"/>
      <c r="C46" s="35"/>
      <c r="D46" s="36"/>
      <c r="E46" s="37"/>
      <c r="F46" s="36"/>
      <c r="G46" s="39"/>
      <c r="H46" s="40"/>
      <c r="I46" s="17"/>
      <c r="J46" s="83"/>
      <c r="K46" s="54"/>
      <c r="L46" s="54"/>
      <c r="M46" s="54"/>
      <c r="N46" s="54"/>
      <c r="O46" s="17"/>
      <c r="P46" s="83"/>
      <c r="Q46" s="54"/>
      <c r="R46" s="54"/>
      <c r="S46" s="54"/>
      <c r="T46" s="54"/>
      <c r="U46" s="17"/>
      <c r="V46" s="83"/>
      <c r="W46" s="54"/>
      <c r="X46" s="54"/>
      <c r="Y46" s="54"/>
      <c r="Z46" s="54"/>
      <c r="AA46" s="17"/>
      <c r="AB46" s="83"/>
      <c r="AC46" s="54"/>
      <c r="AD46" s="54"/>
      <c r="AE46" s="54"/>
      <c r="AF46" s="54"/>
      <c r="AG46" s="17"/>
    </row>
    <row r="47" spans="2:33" x14ac:dyDescent="0.25">
      <c r="B47" s="34"/>
      <c r="C47" s="35"/>
      <c r="D47" s="36"/>
      <c r="E47" s="37"/>
      <c r="F47" s="36"/>
      <c r="H47" s="191"/>
      <c r="I47" s="17"/>
      <c r="J47" s="83"/>
      <c r="K47" s="54"/>
      <c r="L47" s="54"/>
      <c r="M47" s="54"/>
      <c r="N47" s="54"/>
      <c r="O47" s="17"/>
      <c r="P47" s="83"/>
      <c r="Q47" s="54"/>
      <c r="R47" s="54"/>
      <c r="S47" s="54"/>
      <c r="T47" s="54"/>
      <c r="U47" s="17"/>
      <c r="V47" s="83"/>
      <c r="W47" s="54"/>
      <c r="X47" s="54"/>
      <c r="Y47" s="54"/>
      <c r="Z47" s="117"/>
      <c r="AA47" s="17"/>
      <c r="AB47" s="83"/>
      <c r="AC47" s="54"/>
      <c r="AD47" s="54"/>
      <c r="AE47" s="54"/>
      <c r="AF47" s="117"/>
      <c r="AG47" s="17"/>
    </row>
    <row r="48" spans="2:33" x14ac:dyDescent="0.25">
      <c r="B48" s="34"/>
      <c r="C48" s="35"/>
      <c r="D48" s="36"/>
      <c r="E48" s="37"/>
      <c r="F48" s="36"/>
      <c r="H48" s="191"/>
      <c r="I48" s="17"/>
      <c r="J48" s="83"/>
      <c r="K48" s="54"/>
      <c r="L48" s="54"/>
      <c r="M48" s="54"/>
      <c r="N48" s="54"/>
      <c r="O48" s="17"/>
      <c r="P48" s="83"/>
      <c r="Q48" s="54"/>
      <c r="R48" s="54"/>
      <c r="S48" s="54"/>
      <c r="T48" s="54"/>
      <c r="U48" s="17"/>
      <c r="V48" s="83"/>
      <c r="W48" s="54"/>
      <c r="X48" s="54"/>
      <c r="Y48" s="54"/>
      <c r="Z48" s="117"/>
      <c r="AA48" s="17"/>
      <c r="AB48" s="83"/>
      <c r="AC48" s="54"/>
      <c r="AD48" s="54"/>
      <c r="AE48" s="54"/>
      <c r="AF48" s="117"/>
      <c r="AG48" s="17"/>
    </row>
    <row r="49" spans="2:33" x14ac:dyDescent="0.25">
      <c r="B49" s="34"/>
      <c r="C49" s="35"/>
      <c r="D49" s="36"/>
      <c r="E49" s="37"/>
      <c r="F49" s="36"/>
      <c r="H49" s="191"/>
      <c r="I49" s="17"/>
      <c r="J49" s="83"/>
      <c r="K49" s="54"/>
      <c r="L49" s="54"/>
      <c r="M49" s="54"/>
      <c r="N49" s="54"/>
      <c r="O49" s="17"/>
      <c r="P49" s="83"/>
      <c r="Q49" s="54"/>
      <c r="R49" s="54"/>
      <c r="S49" s="54"/>
      <c r="T49" s="54"/>
      <c r="U49" s="17"/>
      <c r="V49" s="83"/>
      <c r="W49" s="54"/>
      <c r="X49" s="54"/>
      <c r="Y49" s="54"/>
      <c r="Z49" s="117"/>
      <c r="AA49" s="17"/>
      <c r="AB49" s="83"/>
      <c r="AC49" s="54"/>
      <c r="AD49" s="54"/>
      <c r="AE49" s="54"/>
      <c r="AF49" s="117"/>
      <c r="AG49" s="17"/>
    </row>
    <row r="50" spans="2:33" x14ac:dyDescent="0.25">
      <c r="B50" s="34"/>
      <c r="C50" s="35"/>
      <c r="D50" s="36"/>
      <c r="E50" s="37"/>
      <c r="F50" s="36"/>
      <c r="H50" s="191"/>
      <c r="I50" s="17"/>
      <c r="J50" s="83"/>
      <c r="K50" s="54"/>
      <c r="L50" s="54"/>
      <c r="M50" s="54"/>
      <c r="N50" s="54"/>
      <c r="O50" s="17"/>
      <c r="P50" s="83"/>
      <c r="Q50" s="54"/>
      <c r="R50" s="54"/>
      <c r="S50" s="54"/>
      <c r="T50" s="54"/>
      <c r="U50" s="17"/>
      <c r="V50" s="83"/>
      <c r="W50" s="54"/>
      <c r="X50" s="54"/>
      <c r="Y50" s="54"/>
      <c r="Z50" s="117"/>
      <c r="AA50" s="17"/>
      <c r="AB50" s="83"/>
      <c r="AC50" s="54"/>
      <c r="AD50" s="54"/>
      <c r="AE50" s="54"/>
      <c r="AF50" s="117"/>
      <c r="AG50" s="17"/>
    </row>
    <row r="51" spans="2:33" x14ac:dyDescent="0.25">
      <c r="B51" s="34"/>
      <c r="C51" s="35"/>
      <c r="D51" s="36"/>
      <c r="E51" s="37"/>
      <c r="F51" s="36"/>
      <c r="H51" s="191"/>
      <c r="I51" s="17"/>
      <c r="J51" s="83"/>
      <c r="K51" s="54"/>
      <c r="L51" s="54"/>
      <c r="M51" s="54"/>
      <c r="N51" s="54"/>
      <c r="O51" s="17"/>
      <c r="P51" s="83"/>
      <c r="Q51" s="54"/>
      <c r="R51" s="54"/>
      <c r="S51" s="54"/>
      <c r="T51" s="54"/>
      <c r="U51" s="17"/>
      <c r="V51" s="83"/>
      <c r="W51" s="54"/>
      <c r="X51" s="54"/>
      <c r="Y51" s="54"/>
      <c r="Z51" s="117"/>
      <c r="AA51" s="17"/>
      <c r="AB51" s="83"/>
      <c r="AC51" s="54"/>
      <c r="AD51" s="54"/>
      <c r="AE51" s="54"/>
      <c r="AF51" s="117"/>
      <c r="AG51" s="17"/>
    </row>
    <row r="52" spans="2:33" x14ac:dyDescent="0.25">
      <c r="B52" s="34"/>
      <c r="C52" s="35"/>
      <c r="D52" s="36"/>
      <c r="E52" s="37"/>
      <c r="F52" s="36"/>
      <c r="H52" s="191"/>
      <c r="I52" s="17"/>
      <c r="J52" s="83"/>
      <c r="K52" s="54"/>
      <c r="L52" s="54"/>
      <c r="M52" s="54"/>
      <c r="N52" s="54"/>
      <c r="O52" s="17"/>
      <c r="P52" s="83"/>
      <c r="Q52" s="54"/>
      <c r="R52" s="54"/>
      <c r="S52" s="54"/>
      <c r="T52" s="54"/>
      <c r="U52" s="17"/>
      <c r="V52" s="83"/>
      <c r="W52" s="54"/>
      <c r="X52" s="54"/>
      <c r="Y52" s="54"/>
      <c r="Z52" s="117"/>
      <c r="AA52" s="17"/>
      <c r="AB52" s="83"/>
      <c r="AC52" s="54"/>
      <c r="AD52" s="54"/>
      <c r="AE52" s="54"/>
      <c r="AF52" s="117"/>
      <c r="AG52" s="17"/>
    </row>
    <row r="53" spans="2:33" x14ac:dyDescent="0.25">
      <c r="B53" s="34"/>
      <c r="C53" s="35"/>
      <c r="D53" s="36"/>
      <c r="E53" s="37"/>
      <c r="F53" s="36"/>
      <c r="H53" s="191"/>
      <c r="I53" s="17"/>
      <c r="J53" s="83"/>
      <c r="K53" s="54"/>
      <c r="L53" s="54"/>
      <c r="M53" s="54"/>
      <c r="N53" s="54"/>
      <c r="O53" s="17"/>
      <c r="P53" s="83"/>
      <c r="Q53" s="54"/>
      <c r="R53" s="54"/>
      <c r="S53" s="54"/>
      <c r="T53" s="54"/>
      <c r="U53" s="17"/>
      <c r="V53" s="83"/>
      <c r="W53" s="54"/>
      <c r="X53" s="54"/>
      <c r="Y53" s="54"/>
      <c r="Z53" s="117"/>
      <c r="AA53" s="17"/>
      <c r="AB53" s="83"/>
      <c r="AC53" s="54"/>
      <c r="AD53" s="54"/>
      <c r="AE53" s="54"/>
      <c r="AF53" s="117"/>
      <c r="AG53" s="17"/>
    </row>
    <row r="54" spans="2:33" x14ac:dyDescent="0.25">
      <c r="B54" s="34"/>
      <c r="C54" s="35"/>
      <c r="D54" s="36"/>
      <c r="E54" s="37"/>
      <c r="F54" s="36"/>
      <c r="H54" s="191"/>
      <c r="I54" s="17"/>
      <c r="J54" s="83"/>
      <c r="K54" s="54"/>
      <c r="L54" s="54"/>
      <c r="M54" s="54"/>
      <c r="N54" s="54"/>
      <c r="O54" s="17"/>
      <c r="P54" s="83"/>
      <c r="Q54" s="54"/>
      <c r="R54" s="54"/>
      <c r="S54" s="54"/>
      <c r="T54" s="54"/>
      <c r="U54" s="17"/>
      <c r="V54" s="83"/>
      <c r="W54" s="54"/>
      <c r="X54" s="54"/>
      <c r="Y54" s="54"/>
      <c r="Z54" s="117"/>
      <c r="AA54" s="17"/>
      <c r="AB54" s="83"/>
      <c r="AC54" s="54"/>
      <c r="AD54" s="54"/>
      <c r="AE54" s="54"/>
      <c r="AF54" s="117"/>
      <c r="AG54" s="17"/>
    </row>
    <row r="55" spans="2:33" x14ac:dyDescent="0.25">
      <c r="B55" s="34"/>
      <c r="C55" s="35"/>
      <c r="D55" s="36"/>
      <c r="E55" s="37"/>
      <c r="F55" s="36"/>
      <c r="H55" s="191"/>
      <c r="I55" s="17"/>
      <c r="J55" s="83"/>
      <c r="K55" s="54"/>
      <c r="L55" s="54"/>
      <c r="M55" s="54"/>
      <c r="N55" s="54"/>
      <c r="O55" s="17"/>
      <c r="P55" s="83"/>
      <c r="Q55" s="54"/>
      <c r="R55" s="54"/>
      <c r="S55" s="54"/>
      <c r="T55" s="54"/>
      <c r="U55" s="17"/>
      <c r="V55" s="83"/>
      <c r="W55" s="54"/>
      <c r="X55" s="54"/>
      <c r="Y55" s="54"/>
      <c r="Z55" s="117"/>
      <c r="AA55" s="17"/>
      <c r="AB55" s="83"/>
      <c r="AC55" s="54"/>
      <c r="AD55" s="54"/>
      <c r="AE55" s="54"/>
      <c r="AF55" s="117"/>
      <c r="AG55" s="17"/>
    </row>
    <row r="56" spans="2:33" x14ac:dyDescent="0.25">
      <c r="B56" s="34"/>
      <c r="C56" s="35"/>
      <c r="D56" s="36"/>
      <c r="E56" s="37"/>
      <c r="F56" s="36"/>
      <c r="H56" s="191"/>
      <c r="I56" s="17"/>
      <c r="J56" s="83"/>
      <c r="K56" s="54"/>
      <c r="L56" s="54"/>
      <c r="M56" s="54"/>
      <c r="N56" s="54"/>
      <c r="O56" s="17"/>
      <c r="P56" s="83"/>
      <c r="Q56" s="54"/>
      <c r="R56" s="54"/>
      <c r="S56" s="54"/>
      <c r="T56" s="54"/>
      <c r="U56" s="17"/>
      <c r="V56" s="83"/>
      <c r="W56" s="54"/>
      <c r="X56" s="54"/>
      <c r="Y56" s="54"/>
      <c r="Z56" s="117"/>
      <c r="AA56" s="17"/>
      <c r="AB56" s="83"/>
      <c r="AC56" s="54"/>
      <c r="AD56" s="54"/>
      <c r="AE56" s="54"/>
      <c r="AF56" s="117"/>
      <c r="AG56" s="17"/>
    </row>
    <row r="57" spans="2:33" x14ac:dyDescent="0.25">
      <c r="B57" s="34"/>
      <c r="C57" s="35"/>
      <c r="D57" s="36"/>
      <c r="E57" s="37"/>
      <c r="F57" s="36"/>
      <c r="H57" s="191"/>
      <c r="I57" s="17"/>
      <c r="J57" s="83"/>
      <c r="K57" s="54"/>
      <c r="L57" s="54"/>
      <c r="M57" s="54"/>
      <c r="N57" s="54"/>
      <c r="O57" s="17"/>
      <c r="P57" s="83"/>
      <c r="Q57" s="54"/>
      <c r="R57" s="54"/>
      <c r="S57" s="54"/>
      <c r="T57" s="54"/>
      <c r="U57" s="17"/>
      <c r="V57" s="83"/>
      <c r="W57" s="54"/>
      <c r="X57" s="54"/>
      <c r="Y57" s="54"/>
      <c r="Z57" s="117"/>
      <c r="AA57" s="17"/>
      <c r="AB57" s="83"/>
      <c r="AC57" s="54"/>
      <c r="AD57" s="54"/>
      <c r="AE57" s="54"/>
      <c r="AF57" s="117"/>
      <c r="AG57" s="17"/>
    </row>
    <row r="58" spans="2:33" x14ac:dyDescent="0.25">
      <c r="B58" s="34"/>
      <c r="C58" s="35"/>
      <c r="D58" s="36"/>
      <c r="E58" s="37"/>
      <c r="F58" s="36"/>
      <c r="H58" s="191"/>
      <c r="I58" s="17"/>
      <c r="J58" s="83"/>
      <c r="K58" s="54"/>
      <c r="L58" s="54"/>
      <c r="M58" s="54"/>
      <c r="N58" s="54"/>
      <c r="O58" s="17"/>
      <c r="P58" s="83"/>
      <c r="Q58" s="54"/>
      <c r="R58" s="54"/>
      <c r="S58" s="54"/>
      <c r="T58" s="54"/>
      <c r="U58" s="17"/>
      <c r="V58" s="83"/>
      <c r="W58" s="54"/>
      <c r="X58" s="54"/>
      <c r="Y58" s="54"/>
      <c r="Z58" s="117"/>
      <c r="AA58" s="17"/>
      <c r="AB58" s="83"/>
      <c r="AC58" s="54"/>
      <c r="AD58" s="54"/>
      <c r="AE58" s="54"/>
      <c r="AF58" s="117"/>
      <c r="AG58" s="17"/>
    </row>
    <row r="59" spans="2:33" x14ac:dyDescent="0.25">
      <c r="B59" s="34"/>
      <c r="C59" s="35"/>
      <c r="D59" s="36"/>
      <c r="E59" s="37"/>
      <c r="F59" s="36"/>
      <c r="H59" s="191"/>
      <c r="I59" s="17"/>
      <c r="J59" s="83"/>
      <c r="K59" s="54"/>
      <c r="L59" s="54"/>
      <c r="M59" s="54"/>
      <c r="N59" s="54"/>
      <c r="O59" s="17"/>
      <c r="P59" s="83"/>
      <c r="Q59" s="54"/>
      <c r="R59" s="54"/>
      <c r="S59" s="54"/>
      <c r="T59" s="54"/>
      <c r="U59" s="17"/>
      <c r="V59" s="83"/>
      <c r="W59" s="54"/>
      <c r="X59" s="54"/>
      <c r="Y59" s="54"/>
      <c r="Z59" s="117"/>
      <c r="AA59" s="17"/>
      <c r="AB59" s="83"/>
      <c r="AC59" s="54"/>
      <c r="AD59" s="54"/>
      <c r="AE59" s="54"/>
      <c r="AF59" s="117"/>
      <c r="AG59" s="17"/>
    </row>
    <row r="60" spans="2:33" x14ac:dyDescent="0.25">
      <c r="B60" s="34"/>
      <c r="C60" s="35"/>
      <c r="D60" s="36"/>
      <c r="E60" s="37"/>
      <c r="F60" s="36"/>
      <c r="H60" s="191"/>
      <c r="I60" s="17"/>
      <c r="J60" s="83"/>
      <c r="K60" s="54"/>
      <c r="L60" s="54"/>
      <c r="M60" s="54"/>
      <c r="N60" s="54"/>
      <c r="O60" s="17"/>
      <c r="P60" s="83"/>
      <c r="Q60" s="54"/>
      <c r="R60" s="54"/>
      <c r="S60" s="54"/>
      <c r="T60" s="54"/>
      <c r="U60" s="17"/>
      <c r="V60" s="83"/>
      <c r="W60" s="54"/>
      <c r="X60" s="54"/>
      <c r="Y60" s="54"/>
      <c r="Z60" s="117"/>
      <c r="AA60" s="17"/>
      <c r="AB60" s="83"/>
      <c r="AC60" s="54"/>
      <c r="AD60" s="54"/>
      <c r="AE60" s="54"/>
      <c r="AF60" s="117"/>
      <c r="AG60" s="17"/>
    </row>
    <row r="61" spans="2:33" x14ac:dyDescent="0.25">
      <c r="B61" s="34"/>
      <c r="C61" s="35"/>
      <c r="D61" s="36"/>
      <c r="E61" s="37"/>
      <c r="F61" s="36"/>
      <c r="H61" s="191"/>
      <c r="I61" s="17"/>
      <c r="J61" s="83"/>
      <c r="K61" s="54"/>
      <c r="L61" s="54"/>
      <c r="M61" s="54"/>
      <c r="N61" s="54"/>
      <c r="O61" s="17"/>
      <c r="P61" s="83"/>
      <c r="Q61" s="54"/>
      <c r="R61" s="54"/>
      <c r="S61" s="54"/>
      <c r="T61" s="54"/>
      <c r="U61" s="17"/>
      <c r="V61" s="83"/>
      <c r="W61" s="54"/>
      <c r="X61" s="54"/>
      <c r="Y61" s="54"/>
      <c r="Z61" s="117"/>
      <c r="AA61" s="17"/>
      <c r="AB61" s="83"/>
      <c r="AC61" s="54"/>
      <c r="AD61" s="54"/>
      <c r="AE61" s="54"/>
      <c r="AF61" s="117"/>
      <c r="AG61" s="17"/>
    </row>
    <row r="62" spans="2:33" x14ac:dyDescent="0.25">
      <c r="B62" s="34"/>
      <c r="C62" s="35"/>
      <c r="D62" s="36"/>
      <c r="E62" s="37"/>
      <c r="F62" s="36"/>
      <c r="H62" s="191"/>
      <c r="I62" s="17"/>
      <c r="J62" s="83"/>
      <c r="K62" s="54"/>
      <c r="L62" s="54"/>
      <c r="M62" s="54"/>
      <c r="N62" s="54"/>
      <c r="O62" s="17"/>
      <c r="P62" s="83"/>
      <c r="Q62" s="54"/>
      <c r="R62" s="54"/>
      <c r="S62" s="54"/>
      <c r="T62" s="54"/>
      <c r="U62" s="17"/>
      <c r="V62" s="83"/>
      <c r="W62" s="54"/>
      <c r="X62" s="54"/>
      <c r="Y62" s="54"/>
      <c r="Z62" s="117"/>
      <c r="AA62" s="17"/>
      <c r="AB62" s="83"/>
      <c r="AC62" s="54"/>
      <c r="AD62" s="54"/>
      <c r="AE62" s="54"/>
      <c r="AF62" s="117"/>
      <c r="AG62" s="17"/>
    </row>
    <row r="63" spans="2:33" x14ac:dyDescent="0.25">
      <c r="B63" s="34"/>
      <c r="C63" s="35"/>
      <c r="D63" s="36"/>
      <c r="E63" s="37"/>
      <c r="F63" s="36"/>
      <c r="H63" s="191"/>
      <c r="I63" s="17"/>
      <c r="J63" s="83"/>
      <c r="K63" s="54"/>
      <c r="L63" s="54"/>
      <c r="M63" s="54"/>
      <c r="N63" s="54"/>
      <c r="O63" s="17"/>
      <c r="P63" s="83"/>
      <c r="Q63" s="54"/>
      <c r="R63" s="54"/>
      <c r="S63" s="54"/>
      <c r="T63" s="54"/>
      <c r="U63" s="17"/>
      <c r="V63" s="83"/>
      <c r="W63" s="54"/>
      <c r="X63" s="54"/>
      <c r="Y63" s="54"/>
      <c r="Z63" s="117"/>
      <c r="AA63" s="17"/>
      <c r="AB63" s="83"/>
      <c r="AC63" s="54"/>
      <c r="AD63" s="54"/>
      <c r="AE63" s="54"/>
      <c r="AF63" s="117"/>
      <c r="AG63" s="17"/>
    </row>
    <row r="64" spans="2:33" x14ac:dyDescent="0.25">
      <c r="B64" s="34"/>
      <c r="C64" s="35"/>
      <c r="D64" s="36"/>
      <c r="E64" s="37"/>
      <c r="F64" s="36"/>
      <c r="H64" s="191"/>
      <c r="I64" s="17"/>
      <c r="J64" s="83"/>
      <c r="K64" s="54"/>
      <c r="L64" s="54"/>
      <c r="M64" s="54"/>
      <c r="N64" s="54"/>
      <c r="O64" s="17"/>
      <c r="P64" s="83"/>
      <c r="Q64" s="54"/>
      <c r="R64" s="54"/>
      <c r="S64" s="54"/>
      <c r="T64" s="54"/>
      <c r="U64" s="17"/>
      <c r="V64" s="83"/>
      <c r="W64" s="54"/>
      <c r="X64" s="54"/>
      <c r="Y64" s="54"/>
      <c r="Z64" s="117"/>
      <c r="AA64" s="17"/>
      <c r="AB64" s="83"/>
      <c r="AC64" s="54"/>
      <c r="AD64" s="54"/>
      <c r="AE64" s="54"/>
      <c r="AF64" s="117"/>
      <c r="AG64" s="17"/>
    </row>
    <row r="65" spans="2:33" x14ac:dyDescent="0.25">
      <c r="B65" s="34"/>
      <c r="C65" s="35"/>
      <c r="D65" s="36"/>
      <c r="E65" s="37"/>
      <c r="F65" s="36"/>
      <c r="H65" s="191"/>
      <c r="I65" s="17"/>
      <c r="J65" s="83"/>
      <c r="K65" s="54"/>
      <c r="L65" s="54"/>
      <c r="M65" s="54"/>
      <c r="N65" s="54"/>
      <c r="O65" s="17"/>
      <c r="P65" s="83"/>
      <c r="Q65" s="54"/>
      <c r="R65" s="54"/>
      <c r="S65" s="54"/>
      <c r="T65" s="54"/>
      <c r="U65" s="17"/>
      <c r="V65" s="83"/>
      <c r="W65" s="54"/>
      <c r="X65" s="54"/>
      <c r="Y65" s="54"/>
      <c r="Z65" s="117"/>
      <c r="AA65" s="17"/>
      <c r="AB65" s="83"/>
      <c r="AC65" s="54"/>
      <c r="AD65" s="54"/>
      <c r="AE65" s="54"/>
      <c r="AF65" s="117"/>
      <c r="AG65" s="17"/>
    </row>
    <row r="66" spans="2:33" x14ac:dyDescent="0.25">
      <c r="B66" s="34"/>
      <c r="C66" s="35"/>
      <c r="D66" s="36"/>
      <c r="E66" s="37"/>
      <c r="F66" s="36"/>
      <c r="H66" s="191"/>
      <c r="I66" s="17"/>
      <c r="J66" s="83"/>
      <c r="K66" s="54"/>
      <c r="L66" s="54"/>
      <c r="M66" s="54"/>
      <c r="N66" s="54"/>
      <c r="O66" s="17"/>
      <c r="P66" s="83"/>
      <c r="Q66" s="54"/>
      <c r="R66" s="54"/>
      <c r="S66" s="54"/>
      <c r="T66" s="54"/>
      <c r="U66" s="17"/>
      <c r="V66" s="83"/>
      <c r="W66" s="54"/>
      <c r="X66" s="54"/>
      <c r="Y66" s="54"/>
      <c r="Z66" s="117"/>
      <c r="AA66" s="17"/>
      <c r="AB66" s="83"/>
      <c r="AC66" s="54"/>
      <c r="AD66" s="54"/>
      <c r="AE66" s="54"/>
      <c r="AF66" s="117"/>
      <c r="AG66" s="17"/>
    </row>
    <row r="67" spans="2:33" x14ac:dyDescent="0.25">
      <c r="B67" s="34"/>
      <c r="C67" s="35"/>
      <c r="D67" s="36"/>
      <c r="E67" s="37"/>
      <c r="F67" s="36"/>
      <c r="H67" s="191"/>
      <c r="I67" s="17"/>
      <c r="J67" s="83"/>
      <c r="K67" s="54"/>
      <c r="L67" s="54"/>
      <c r="M67" s="54"/>
      <c r="N67" s="54"/>
      <c r="O67" s="17"/>
      <c r="P67" s="83"/>
      <c r="Q67" s="54"/>
      <c r="R67" s="54"/>
      <c r="S67" s="54"/>
      <c r="T67" s="54"/>
      <c r="U67" s="17"/>
      <c r="V67" s="83"/>
      <c r="W67" s="54"/>
      <c r="X67" s="54"/>
      <c r="Y67" s="54"/>
      <c r="Z67" s="117"/>
      <c r="AA67" s="17"/>
      <c r="AB67" s="83"/>
      <c r="AC67" s="54"/>
      <c r="AD67" s="54"/>
      <c r="AE67" s="54"/>
      <c r="AF67" s="117"/>
      <c r="AG67" s="17"/>
    </row>
    <row r="68" spans="2:33" x14ac:dyDescent="0.25">
      <c r="B68" s="34"/>
      <c r="C68" s="35"/>
      <c r="D68" s="36"/>
      <c r="E68" s="37"/>
      <c r="F68" s="36"/>
      <c r="H68" s="191"/>
      <c r="I68" s="17"/>
      <c r="J68" s="83"/>
      <c r="K68" s="54"/>
      <c r="L68" s="54"/>
      <c r="M68" s="54"/>
      <c r="N68" s="54"/>
      <c r="O68" s="17"/>
      <c r="P68" s="83"/>
      <c r="Q68" s="54"/>
      <c r="R68" s="54"/>
      <c r="S68" s="54"/>
      <c r="T68" s="54"/>
      <c r="U68" s="17"/>
      <c r="V68" s="83"/>
      <c r="W68" s="54"/>
      <c r="X68" s="54"/>
      <c r="Y68" s="54"/>
      <c r="Z68" s="117"/>
      <c r="AA68" s="17"/>
      <c r="AB68" s="83"/>
      <c r="AC68" s="54"/>
      <c r="AD68" s="54"/>
      <c r="AE68" s="54"/>
      <c r="AF68" s="117"/>
      <c r="AG68" s="17"/>
    </row>
    <row r="69" spans="2:33" x14ac:dyDescent="0.25">
      <c r="B69" s="34"/>
      <c r="C69" s="35"/>
      <c r="D69" s="36"/>
      <c r="E69" s="37"/>
      <c r="F69" s="36"/>
      <c r="H69" s="191"/>
      <c r="I69" s="17"/>
      <c r="J69" s="83"/>
      <c r="K69" s="54"/>
      <c r="L69" s="54"/>
      <c r="M69" s="54"/>
      <c r="N69" s="54"/>
      <c r="O69" s="17"/>
      <c r="P69" s="83"/>
      <c r="Q69" s="54"/>
      <c r="R69" s="54"/>
      <c r="S69" s="54"/>
      <c r="T69" s="54"/>
      <c r="U69" s="17"/>
      <c r="V69" s="83"/>
      <c r="W69" s="54"/>
      <c r="X69" s="54"/>
      <c r="Y69" s="54"/>
      <c r="Z69" s="117"/>
      <c r="AA69" s="17"/>
      <c r="AB69" s="83"/>
      <c r="AC69" s="54"/>
      <c r="AD69" s="54"/>
      <c r="AE69" s="54"/>
      <c r="AF69" s="117"/>
      <c r="AG69" s="17"/>
    </row>
    <row r="70" spans="2:33" x14ac:dyDescent="0.25">
      <c r="B70" s="34"/>
      <c r="C70" s="35"/>
      <c r="D70" s="36"/>
      <c r="E70" s="37"/>
      <c r="F70" s="36"/>
      <c r="H70" s="191"/>
      <c r="I70" s="17"/>
      <c r="J70" s="83"/>
      <c r="K70" s="54"/>
      <c r="L70" s="54"/>
      <c r="M70" s="54"/>
      <c r="N70" s="54"/>
      <c r="O70" s="17"/>
      <c r="P70" s="83"/>
      <c r="Q70" s="54"/>
      <c r="R70" s="54"/>
      <c r="S70" s="54"/>
      <c r="T70" s="54"/>
      <c r="U70" s="17"/>
      <c r="V70" s="83"/>
      <c r="W70" s="54"/>
      <c r="X70" s="54"/>
      <c r="Y70" s="54"/>
      <c r="Z70" s="117"/>
      <c r="AA70" s="17"/>
      <c r="AB70" s="83"/>
      <c r="AC70" s="54"/>
      <c r="AD70" s="54"/>
      <c r="AE70" s="54"/>
      <c r="AF70" s="117"/>
      <c r="AG70" s="17"/>
    </row>
    <row r="71" spans="2:33" x14ac:dyDescent="0.25">
      <c r="B71" s="34"/>
      <c r="C71" s="35"/>
      <c r="D71" s="36"/>
      <c r="E71" s="37"/>
      <c r="F71" s="36"/>
      <c r="H71" s="191"/>
      <c r="I71" s="17"/>
      <c r="J71" s="83"/>
      <c r="K71" s="54"/>
      <c r="L71" s="54"/>
      <c r="M71" s="54"/>
      <c r="N71" s="54"/>
      <c r="O71" s="17"/>
      <c r="P71" s="83"/>
      <c r="Q71" s="54"/>
      <c r="R71" s="54"/>
      <c r="S71" s="54"/>
      <c r="T71" s="54"/>
      <c r="U71" s="17"/>
      <c r="V71" s="83"/>
      <c r="W71" s="54"/>
      <c r="X71" s="54"/>
      <c r="Y71" s="54"/>
      <c r="Z71" s="117"/>
      <c r="AA71" s="17"/>
      <c r="AB71" s="83"/>
      <c r="AC71" s="54"/>
      <c r="AD71" s="54"/>
      <c r="AE71" s="54"/>
      <c r="AF71" s="117"/>
      <c r="AG71" s="17"/>
    </row>
    <row r="72" spans="2:33" x14ac:dyDescent="0.25">
      <c r="B72" s="34"/>
      <c r="C72" s="35"/>
      <c r="D72" s="36"/>
      <c r="E72" s="37"/>
      <c r="F72" s="36"/>
      <c r="H72" s="191"/>
      <c r="I72" s="17"/>
      <c r="J72" s="83"/>
      <c r="K72" s="54"/>
      <c r="L72" s="54"/>
      <c r="M72" s="54"/>
      <c r="N72" s="54"/>
      <c r="O72" s="17"/>
      <c r="P72" s="83"/>
      <c r="Q72" s="54"/>
      <c r="R72" s="54"/>
      <c r="S72" s="54"/>
      <c r="T72" s="54"/>
      <c r="U72" s="17"/>
      <c r="V72" s="83"/>
      <c r="W72" s="54"/>
      <c r="X72" s="54"/>
      <c r="Y72" s="54"/>
      <c r="Z72" s="117"/>
      <c r="AA72" s="17"/>
      <c r="AB72" s="83"/>
      <c r="AC72" s="54"/>
      <c r="AD72" s="54"/>
      <c r="AE72" s="54"/>
      <c r="AF72" s="117"/>
      <c r="AG72" s="17"/>
    </row>
    <row r="73" spans="2:33" x14ac:dyDescent="0.25">
      <c r="B73" s="34"/>
      <c r="C73" s="35"/>
      <c r="D73" s="36"/>
      <c r="E73" s="37"/>
      <c r="F73" s="36"/>
      <c r="H73" s="191"/>
      <c r="I73" s="17"/>
      <c r="J73" s="83"/>
      <c r="K73" s="54"/>
      <c r="L73" s="54"/>
      <c r="M73" s="54"/>
      <c r="N73" s="54"/>
      <c r="O73" s="17"/>
      <c r="P73" s="83"/>
      <c r="Q73" s="54"/>
      <c r="R73" s="54"/>
      <c r="S73" s="54"/>
      <c r="T73" s="54"/>
      <c r="U73" s="17"/>
      <c r="V73" s="83"/>
      <c r="W73" s="54"/>
      <c r="X73" s="54"/>
      <c r="Y73" s="54"/>
      <c r="Z73" s="117"/>
      <c r="AA73" s="17"/>
      <c r="AB73" s="83"/>
      <c r="AC73" s="54"/>
      <c r="AD73" s="54"/>
      <c r="AE73" s="54"/>
      <c r="AF73" s="117"/>
      <c r="AG73" s="17"/>
    </row>
    <row r="74" spans="2:33" x14ac:dyDescent="0.25">
      <c r="B74" s="34"/>
      <c r="C74" s="35"/>
      <c r="D74" s="36"/>
      <c r="E74" s="37"/>
      <c r="F74" s="36"/>
      <c r="H74" s="191"/>
      <c r="I74" s="17"/>
      <c r="J74" s="83"/>
      <c r="K74" s="54"/>
      <c r="L74" s="54"/>
      <c r="M74" s="54"/>
      <c r="N74" s="54"/>
      <c r="O74" s="17"/>
      <c r="P74" s="83"/>
      <c r="Q74" s="54"/>
      <c r="R74" s="54"/>
      <c r="S74" s="54"/>
      <c r="T74" s="54"/>
      <c r="U74" s="17"/>
      <c r="V74" s="83"/>
      <c r="W74" s="54"/>
      <c r="X74" s="54"/>
      <c r="Y74" s="54"/>
      <c r="Z74" s="117"/>
      <c r="AA74" s="17"/>
      <c r="AB74" s="83"/>
      <c r="AC74" s="54"/>
      <c r="AD74" s="54"/>
      <c r="AE74" s="54"/>
      <c r="AF74" s="117"/>
      <c r="AG74" s="17"/>
    </row>
    <row r="75" spans="2:33" x14ac:dyDescent="0.25">
      <c r="B75" s="34"/>
      <c r="C75" s="35"/>
      <c r="D75" s="36"/>
      <c r="E75" s="37"/>
      <c r="F75" s="36"/>
      <c r="H75" s="191"/>
      <c r="I75" s="17"/>
      <c r="J75" s="83"/>
      <c r="K75" s="54"/>
      <c r="L75" s="54"/>
      <c r="M75" s="54"/>
      <c r="N75" s="54"/>
      <c r="O75" s="17"/>
      <c r="P75" s="83"/>
      <c r="Q75" s="54"/>
      <c r="R75" s="54"/>
      <c r="S75" s="54"/>
      <c r="T75" s="54"/>
      <c r="U75" s="17"/>
      <c r="V75" s="83"/>
      <c r="W75" s="54"/>
      <c r="X75" s="54"/>
      <c r="Y75" s="54"/>
      <c r="Z75" s="117"/>
      <c r="AA75" s="17"/>
      <c r="AB75" s="83"/>
      <c r="AC75" s="54"/>
      <c r="AD75" s="54"/>
      <c r="AE75" s="54"/>
      <c r="AF75" s="117"/>
      <c r="AG75" s="17"/>
    </row>
    <row r="76" spans="2:33" x14ac:dyDescent="0.25">
      <c r="B76" s="34"/>
      <c r="C76" s="35"/>
      <c r="D76" s="36"/>
      <c r="E76" s="37"/>
      <c r="F76" s="36"/>
      <c r="H76" s="191"/>
      <c r="I76" s="17"/>
      <c r="J76" s="83"/>
      <c r="K76" s="54"/>
      <c r="L76" s="54"/>
      <c r="M76" s="54"/>
      <c r="N76" s="54"/>
      <c r="O76" s="17"/>
      <c r="P76" s="83"/>
      <c r="Q76" s="54"/>
      <c r="R76" s="54"/>
      <c r="S76" s="54"/>
      <c r="T76" s="54"/>
      <c r="U76" s="17"/>
      <c r="V76" s="83"/>
      <c r="W76" s="54"/>
      <c r="X76" s="54"/>
      <c r="Y76" s="54"/>
      <c r="Z76" s="117"/>
      <c r="AA76" s="17"/>
      <c r="AB76" s="83"/>
      <c r="AC76" s="54"/>
      <c r="AD76" s="54"/>
      <c r="AE76" s="54"/>
      <c r="AF76" s="117"/>
      <c r="AG76" s="17"/>
    </row>
    <row r="77" spans="2:33" x14ac:dyDescent="0.25">
      <c r="B77" s="34"/>
      <c r="C77" s="35"/>
      <c r="D77" s="36"/>
      <c r="E77" s="37"/>
      <c r="F77" s="36"/>
      <c r="H77" s="191"/>
      <c r="I77" s="17"/>
      <c r="J77" s="83"/>
      <c r="K77" s="54"/>
      <c r="L77" s="54"/>
      <c r="M77" s="54"/>
      <c r="N77" s="54"/>
      <c r="O77" s="17"/>
      <c r="P77" s="83"/>
      <c r="Q77" s="54"/>
      <c r="R77" s="54"/>
      <c r="S77" s="54"/>
      <c r="T77" s="54"/>
      <c r="U77" s="17"/>
      <c r="V77" s="83"/>
      <c r="W77" s="54"/>
      <c r="X77" s="54"/>
      <c r="Y77" s="54"/>
      <c r="Z77" s="117"/>
      <c r="AA77" s="17"/>
      <c r="AB77" s="83"/>
      <c r="AC77" s="54"/>
      <c r="AD77" s="54"/>
      <c r="AE77" s="54"/>
      <c r="AF77" s="117"/>
      <c r="AG77" s="17"/>
    </row>
    <row r="78" spans="2:33" x14ac:dyDescent="0.25">
      <c r="B78" s="34"/>
      <c r="C78" s="35"/>
      <c r="D78" s="36"/>
      <c r="E78" s="37"/>
      <c r="F78" s="36"/>
      <c r="H78" s="191"/>
      <c r="I78" s="17"/>
      <c r="J78" s="83"/>
      <c r="K78" s="54"/>
      <c r="L78" s="54"/>
      <c r="M78" s="54"/>
      <c r="N78" s="54"/>
      <c r="O78" s="17"/>
      <c r="P78" s="83"/>
      <c r="Q78" s="54"/>
      <c r="R78" s="54"/>
      <c r="S78" s="54"/>
      <c r="T78" s="54"/>
      <c r="U78" s="17"/>
      <c r="V78" s="83"/>
      <c r="W78" s="54"/>
      <c r="X78" s="54"/>
      <c r="Y78" s="54"/>
      <c r="Z78" s="117"/>
      <c r="AA78" s="17"/>
      <c r="AB78" s="83"/>
      <c r="AC78" s="54"/>
      <c r="AD78" s="54"/>
      <c r="AE78" s="54"/>
      <c r="AF78" s="117"/>
      <c r="AG78" s="17"/>
    </row>
    <row r="79" spans="2:33" x14ac:dyDescent="0.25">
      <c r="B79" s="34"/>
      <c r="C79" s="35"/>
      <c r="D79" s="36"/>
      <c r="E79" s="37"/>
      <c r="F79" s="36"/>
      <c r="H79" s="191"/>
      <c r="I79" s="17"/>
      <c r="J79" s="83"/>
      <c r="K79" s="54"/>
      <c r="L79" s="54"/>
      <c r="M79" s="54"/>
      <c r="N79" s="54"/>
      <c r="O79" s="17"/>
      <c r="P79" s="83"/>
      <c r="Q79" s="54"/>
      <c r="R79" s="54"/>
      <c r="S79" s="54"/>
      <c r="T79" s="54"/>
      <c r="U79" s="17"/>
      <c r="V79" s="83"/>
      <c r="W79" s="54"/>
      <c r="X79" s="54"/>
      <c r="Y79" s="54"/>
      <c r="Z79" s="117"/>
      <c r="AA79" s="17"/>
      <c r="AB79" s="83"/>
      <c r="AC79" s="54"/>
      <c r="AD79" s="54"/>
      <c r="AE79" s="54"/>
      <c r="AF79" s="117"/>
      <c r="AG79" s="17"/>
    </row>
    <row r="80" spans="2:33" x14ac:dyDescent="0.25">
      <c r="B80" s="34"/>
      <c r="C80" s="35"/>
      <c r="D80" s="36"/>
      <c r="E80" s="37"/>
      <c r="F80" s="36"/>
      <c r="H80" s="191"/>
      <c r="I80" s="17"/>
      <c r="J80" s="83"/>
      <c r="K80" s="54"/>
      <c r="L80" s="54"/>
      <c r="M80" s="54"/>
      <c r="N80" s="54"/>
      <c r="O80" s="17"/>
      <c r="P80" s="83"/>
      <c r="Q80" s="54"/>
      <c r="R80" s="54"/>
      <c r="S80" s="54"/>
      <c r="T80" s="54"/>
      <c r="U80" s="17"/>
      <c r="V80" s="83"/>
      <c r="W80" s="54"/>
      <c r="X80" s="54"/>
      <c r="Y80" s="54"/>
      <c r="Z80" s="117"/>
      <c r="AA80" s="17"/>
      <c r="AB80" s="83"/>
      <c r="AC80" s="54"/>
      <c r="AD80" s="54"/>
      <c r="AE80" s="54"/>
      <c r="AF80" s="117"/>
      <c r="AG80" s="17"/>
    </row>
    <row r="81" spans="2:33" x14ac:dyDescent="0.25">
      <c r="B81" s="34"/>
      <c r="C81" s="35"/>
      <c r="D81" s="36"/>
      <c r="E81" s="37"/>
      <c r="F81" s="36"/>
      <c r="H81" s="191"/>
      <c r="I81" s="17"/>
      <c r="J81" s="83"/>
      <c r="K81" s="54"/>
      <c r="L81" s="54"/>
      <c r="M81" s="54"/>
      <c r="N81" s="54"/>
      <c r="O81" s="17"/>
      <c r="P81" s="83"/>
      <c r="Q81" s="54"/>
      <c r="R81" s="54"/>
      <c r="S81" s="54"/>
      <c r="T81" s="54"/>
      <c r="U81" s="17"/>
      <c r="V81" s="83"/>
      <c r="W81" s="54"/>
      <c r="X81" s="54"/>
      <c r="Y81" s="54"/>
      <c r="Z81" s="117"/>
      <c r="AA81" s="17"/>
      <c r="AB81" s="83"/>
      <c r="AC81" s="54"/>
      <c r="AD81" s="54"/>
      <c r="AE81" s="54"/>
      <c r="AF81" s="117"/>
      <c r="AG81" s="17"/>
    </row>
    <row r="82" spans="2:33" x14ac:dyDescent="0.25">
      <c r="B82" s="34"/>
      <c r="C82" s="35"/>
      <c r="D82" s="36"/>
      <c r="E82" s="37"/>
      <c r="F82" s="36"/>
      <c r="H82" s="191"/>
      <c r="I82" s="17"/>
      <c r="J82" s="83"/>
      <c r="K82" s="54"/>
      <c r="L82" s="54"/>
      <c r="M82" s="54"/>
      <c r="N82" s="54"/>
      <c r="O82" s="17"/>
      <c r="P82" s="83"/>
      <c r="Q82" s="54"/>
      <c r="R82" s="54"/>
      <c r="S82" s="54"/>
      <c r="T82" s="54"/>
      <c r="U82" s="17"/>
      <c r="V82" s="83"/>
      <c r="W82" s="54"/>
      <c r="X82" s="54"/>
      <c r="Y82" s="54"/>
      <c r="Z82" s="117"/>
      <c r="AA82" s="17"/>
      <c r="AB82" s="83"/>
      <c r="AC82" s="54"/>
      <c r="AD82" s="54"/>
      <c r="AE82" s="54"/>
      <c r="AF82" s="117"/>
      <c r="AG82" s="17"/>
    </row>
    <row r="83" spans="2:33" x14ac:dyDescent="0.25">
      <c r="B83" s="34"/>
      <c r="C83" s="35"/>
      <c r="D83" s="36"/>
      <c r="E83" s="37"/>
      <c r="F83" s="36"/>
      <c r="H83" s="191"/>
      <c r="I83" s="17"/>
      <c r="J83" s="83"/>
      <c r="K83" s="54"/>
      <c r="L83" s="54"/>
      <c r="M83" s="54"/>
      <c r="N83" s="54"/>
      <c r="O83" s="17"/>
      <c r="P83" s="83"/>
      <c r="Q83" s="54"/>
      <c r="R83" s="54"/>
      <c r="S83" s="54"/>
      <c r="T83" s="54"/>
      <c r="U83" s="17"/>
      <c r="V83" s="83"/>
      <c r="W83" s="54"/>
      <c r="X83" s="54"/>
      <c r="Y83" s="54"/>
      <c r="Z83" s="117"/>
      <c r="AA83" s="17"/>
      <c r="AB83" s="83"/>
      <c r="AC83" s="54"/>
      <c r="AD83" s="54"/>
      <c r="AE83" s="54"/>
      <c r="AF83" s="117"/>
      <c r="AG83" s="17"/>
    </row>
    <row r="84" spans="2:33" x14ac:dyDescent="0.25">
      <c r="B84" s="34"/>
      <c r="C84" s="35"/>
      <c r="D84" s="36"/>
      <c r="E84" s="37"/>
      <c r="F84" s="36"/>
      <c r="H84" s="191"/>
      <c r="I84" s="17"/>
      <c r="J84" s="83"/>
      <c r="K84" s="54"/>
      <c r="L84" s="54"/>
      <c r="M84" s="54"/>
      <c r="N84" s="54"/>
      <c r="O84" s="17"/>
      <c r="P84" s="83"/>
      <c r="Q84" s="54"/>
      <c r="R84" s="54"/>
      <c r="S84" s="54"/>
      <c r="T84" s="54"/>
      <c r="U84" s="17"/>
      <c r="V84" s="83"/>
      <c r="W84" s="54"/>
      <c r="X84" s="54"/>
      <c r="Y84" s="54"/>
      <c r="Z84" s="117"/>
      <c r="AA84" s="17"/>
      <c r="AB84" s="83"/>
      <c r="AC84" s="54"/>
      <c r="AD84" s="54"/>
      <c r="AE84" s="54"/>
      <c r="AF84" s="117"/>
      <c r="AG84" s="17"/>
    </row>
    <row r="85" spans="2:33" x14ac:dyDescent="0.25">
      <c r="B85" s="34"/>
      <c r="C85" s="35"/>
      <c r="D85" s="36"/>
      <c r="E85" s="37"/>
      <c r="F85" s="36"/>
      <c r="H85" s="191"/>
      <c r="I85" s="17"/>
      <c r="J85" s="83"/>
      <c r="K85" s="54"/>
      <c r="L85" s="54"/>
      <c r="M85" s="54"/>
      <c r="N85" s="54"/>
      <c r="O85" s="17"/>
      <c r="P85" s="83"/>
      <c r="Q85" s="54"/>
      <c r="R85" s="54"/>
      <c r="S85" s="54"/>
      <c r="T85" s="54"/>
      <c r="U85" s="17"/>
      <c r="V85" s="83"/>
      <c r="W85" s="54"/>
      <c r="X85" s="54"/>
      <c r="Y85" s="54"/>
      <c r="Z85" s="117"/>
      <c r="AA85" s="17"/>
      <c r="AB85" s="83"/>
      <c r="AC85" s="54"/>
      <c r="AD85" s="54"/>
      <c r="AE85" s="54"/>
      <c r="AF85" s="117"/>
      <c r="AG85" s="17"/>
    </row>
    <row r="86" spans="2:33" x14ac:dyDescent="0.25">
      <c r="B86" s="34"/>
      <c r="C86" s="35"/>
      <c r="D86" s="36"/>
      <c r="E86" s="37"/>
      <c r="F86" s="36"/>
      <c r="H86" s="191"/>
      <c r="I86" s="17"/>
      <c r="J86" s="83"/>
      <c r="K86" s="54"/>
      <c r="L86" s="54"/>
      <c r="M86" s="54"/>
      <c r="N86" s="54"/>
      <c r="O86" s="17"/>
      <c r="P86" s="83"/>
      <c r="Q86" s="54"/>
      <c r="R86" s="54"/>
      <c r="S86" s="54"/>
      <c r="T86" s="54"/>
      <c r="U86" s="17"/>
      <c r="V86" s="83"/>
      <c r="W86" s="54"/>
      <c r="X86" s="54"/>
      <c r="Y86" s="54"/>
      <c r="Z86" s="117"/>
      <c r="AA86" s="17"/>
      <c r="AB86" s="83"/>
      <c r="AC86" s="54"/>
      <c r="AD86" s="54"/>
      <c r="AE86" s="54"/>
      <c r="AF86" s="117"/>
      <c r="AG86" s="17"/>
    </row>
    <row r="87" spans="2:33" x14ac:dyDescent="0.25">
      <c r="B87" s="34"/>
      <c r="C87" s="35"/>
      <c r="D87" s="36"/>
      <c r="E87" s="37"/>
      <c r="F87" s="36"/>
      <c r="H87" s="191"/>
      <c r="I87" s="17"/>
      <c r="J87" s="83"/>
      <c r="K87" s="54"/>
      <c r="L87" s="54"/>
      <c r="M87" s="54"/>
      <c r="N87" s="54"/>
      <c r="O87" s="17"/>
      <c r="P87" s="83"/>
      <c r="Q87" s="54"/>
      <c r="R87" s="54"/>
      <c r="S87" s="54"/>
      <c r="T87" s="117"/>
      <c r="U87" s="17"/>
      <c r="V87" s="83"/>
      <c r="W87" s="54"/>
      <c r="X87" s="54"/>
      <c r="Y87" s="54"/>
      <c r="Z87" s="117"/>
      <c r="AA87" s="17"/>
      <c r="AB87" s="83"/>
      <c r="AC87" s="54"/>
      <c r="AD87" s="54"/>
      <c r="AE87" s="54"/>
      <c r="AF87" s="117"/>
      <c r="AG87" s="17"/>
    </row>
    <row r="88" spans="2:33" x14ac:dyDescent="0.25">
      <c r="B88" s="34"/>
      <c r="C88" s="35"/>
      <c r="D88" s="36"/>
      <c r="E88" s="37"/>
      <c r="F88" s="36"/>
      <c r="H88" s="191"/>
      <c r="I88" s="17"/>
      <c r="J88" s="83"/>
      <c r="K88" s="54"/>
      <c r="L88" s="54"/>
      <c r="M88" s="54"/>
      <c r="N88" s="54"/>
      <c r="O88" s="17"/>
      <c r="P88" s="83"/>
      <c r="Q88" s="54"/>
      <c r="R88" s="54"/>
      <c r="S88" s="54"/>
      <c r="T88" s="117"/>
      <c r="U88" s="17"/>
      <c r="V88" s="83"/>
      <c r="W88" s="54"/>
      <c r="X88" s="54"/>
      <c r="Y88" s="54"/>
      <c r="Z88" s="117"/>
      <c r="AA88" s="17"/>
      <c r="AB88" s="83"/>
      <c r="AC88" s="54"/>
      <c r="AD88" s="54"/>
      <c r="AE88" s="54"/>
      <c r="AF88" s="117"/>
      <c r="AG88" s="17"/>
    </row>
    <row r="89" spans="2:33" x14ac:dyDescent="0.25">
      <c r="B89" s="34"/>
      <c r="C89" s="35"/>
      <c r="D89" s="36"/>
      <c r="E89" s="37"/>
      <c r="F89" s="36"/>
      <c r="H89" s="191"/>
      <c r="I89" s="17"/>
      <c r="J89" s="83"/>
      <c r="K89" s="54"/>
      <c r="L89" s="54"/>
      <c r="M89" s="54"/>
      <c r="N89" s="54"/>
      <c r="O89" s="17"/>
      <c r="P89" s="83"/>
      <c r="Q89" s="54"/>
      <c r="R89" s="54"/>
      <c r="S89" s="54"/>
      <c r="T89" s="117"/>
      <c r="U89" s="17"/>
      <c r="V89" s="83"/>
      <c r="W89" s="54"/>
      <c r="X89" s="54"/>
      <c r="Y89" s="54"/>
      <c r="Z89" s="117"/>
      <c r="AA89" s="17"/>
      <c r="AB89" s="83"/>
      <c r="AC89" s="54"/>
      <c r="AD89" s="54"/>
      <c r="AE89" s="54"/>
      <c r="AF89" s="117"/>
      <c r="AG89" s="17"/>
    </row>
    <row r="90" spans="2:33" x14ac:dyDescent="0.25">
      <c r="B90" s="34"/>
      <c r="C90" s="35"/>
      <c r="D90" s="36"/>
      <c r="E90" s="37"/>
      <c r="F90" s="36"/>
      <c r="H90" s="191"/>
      <c r="I90" s="17"/>
      <c r="J90" s="83"/>
      <c r="K90" s="54"/>
      <c r="L90" s="54"/>
      <c r="M90" s="54"/>
      <c r="N90" s="54"/>
      <c r="O90" s="17"/>
      <c r="P90" s="83"/>
      <c r="Q90" s="54"/>
      <c r="R90" s="54"/>
      <c r="S90" s="54"/>
      <c r="T90" s="117"/>
      <c r="U90" s="17"/>
      <c r="V90" s="83"/>
      <c r="W90" s="54"/>
      <c r="X90" s="54"/>
      <c r="Y90" s="54"/>
      <c r="Z90" s="117"/>
      <c r="AA90" s="17"/>
      <c r="AB90" s="83"/>
      <c r="AC90" s="54"/>
      <c r="AD90" s="54"/>
      <c r="AE90" s="54"/>
      <c r="AF90" s="117"/>
      <c r="AG90" s="17"/>
    </row>
    <row r="91" spans="2:33" x14ac:dyDescent="0.25">
      <c r="B91" s="34"/>
      <c r="C91" s="35"/>
      <c r="D91" s="36"/>
      <c r="E91" s="37"/>
      <c r="F91" s="36"/>
      <c r="H91" s="191"/>
      <c r="I91" s="17"/>
      <c r="J91" s="83"/>
      <c r="K91" s="54"/>
      <c r="L91" s="54"/>
      <c r="M91" s="54"/>
      <c r="N91" s="54"/>
      <c r="O91" s="17"/>
      <c r="P91" s="83"/>
      <c r="Q91" s="54"/>
      <c r="R91" s="54"/>
      <c r="S91" s="54"/>
      <c r="T91" s="117"/>
      <c r="U91" s="17"/>
      <c r="V91" s="83"/>
      <c r="W91" s="54"/>
      <c r="X91" s="54"/>
      <c r="Y91" s="54"/>
      <c r="Z91" s="117"/>
      <c r="AA91" s="17"/>
      <c r="AB91" s="83"/>
      <c r="AC91" s="54"/>
      <c r="AD91" s="54"/>
      <c r="AE91" s="54"/>
      <c r="AF91" s="117"/>
      <c r="AG91" s="17"/>
    </row>
    <row r="92" spans="2:33" x14ac:dyDescent="0.25">
      <c r="B92" s="34"/>
      <c r="C92" s="35"/>
      <c r="D92" s="36"/>
      <c r="E92" s="37"/>
      <c r="F92" s="36"/>
      <c r="H92" s="191"/>
      <c r="I92" s="17"/>
      <c r="J92" s="83"/>
      <c r="K92" s="54"/>
      <c r="L92" s="54"/>
      <c r="M92" s="54"/>
      <c r="N92" s="54"/>
      <c r="O92" s="17"/>
      <c r="P92" s="83"/>
      <c r="Q92" s="54"/>
      <c r="R92" s="54"/>
      <c r="S92" s="54"/>
      <c r="T92" s="117"/>
      <c r="U92" s="17"/>
      <c r="V92" s="83"/>
      <c r="W92" s="54"/>
      <c r="X92" s="54"/>
      <c r="Y92" s="54"/>
      <c r="Z92" s="117"/>
      <c r="AA92" s="17"/>
      <c r="AB92" s="83"/>
      <c r="AC92" s="54"/>
      <c r="AD92" s="54"/>
      <c r="AE92" s="54"/>
      <c r="AF92" s="117"/>
      <c r="AG92" s="17"/>
    </row>
    <row r="93" spans="2:33" x14ac:dyDescent="0.25">
      <c r="B93" s="34"/>
      <c r="C93" s="35"/>
      <c r="D93" s="36"/>
      <c r="E93" s="37"/>
      <c r="F93" s="36"/>
      <c r="H93" s="191"/>
      <c r="I93" s="17"/>
      <c r="J93" s="83"/>
      <c r="K93" s="54"/>
      <c r="L93" s="54"/>
      <c r="M93" s="54"/>
      <c r="N93" s="54"/>
      <c r="O93" s="17"/>
      <c r="P93" s="83"/>
      <c r="Q93" s="54"/>
      <c r="R93" s="54"/>
      <c r="S93" s="54"/>
      <c r="T93" s="117"/>
      <c r="U93" s="17"/>
      <c r="V93" s="83"/>
      <c r="W93" s="54"/>
      <c r="X93" s="54"/>
      <c r="Y93" s="54"/>
      <c r="Z93" s="117"/>
      <c r="AA93" s="17"/>
      <c r="AB93" s="83"/>
      <c r="AC93" s="54"/>
      <c r="AD93" s="54"/>
      <c r="AE93" s="54"/>
      <c r="AF93" s="117"/>
      <c r="AG93" s="17"/>
    </row>
    <row r="94" spans="2:33" x14ac:dyDescent="0.25">
      <c r="B94" s="34"/>
      <c r="C94" s="35"/>
      <c r="D94" s="36"/>
      <c r="E94" s="37"/>
      <c r="F94" s="36"/>
      <c r="H94" s="191"/>
      <c r="I94" s="17"/>
      <c r="J94" s="83"/>
      <c r="K94" s="54"/>
      <c r="L94" s="54"/>
      <c r="M94" s="54"/>
      <c r="N94" s="54"/>
      <c r="O94" s="17"/>
      <c r="P94" s="83"/>
      <c r="Q94" s="54"/>
      <c r="R94" s="54"/>
      <c r="S94" s="54"/>
      <c r="T94" s="117"/>
      <c r="U94" s="17"/>
      <c r="V94" s="83"/>
      <c r="W94" s="54"/>
      <c r="X94" s="54"/>
      <c r="Y94" s="54"/>
      <c r="Z94" s="117"/>
      <c r="AA94" s="17"/>
      <c r="AB94" s="83"/>
      <c r="AC94" s="54"/>
      <c r="AD94" s="54"/>
      <c r="AE94" s="54"/>
      <c r="AF94" s="117"/>
      <c r="AG94" s="17"/>
    </row>
    <row r="95" spans="2:33" x14ac:dyDescent="0.25">
      <c r="B95" s="34"/>
      <c r="C95" s="35"/>
      <c r="D95" s="36"/>
      <c r="E95" s="37"/>
      <c r="F95" s="36"/>
      <c r="H95" s="191"/>
      <c r="I95" s="17"/>
      <c r="J95" s="83"/>
      <c r="K95" s="54"/>
      <c r="L95" s="54"/>
      <c r="M95" s="54"/>
      <c r="N95" s="54"/>
      <c r="O95" s="17"/>
      <c r="P95" s="83"/>
      <c r="Q95" s="54"/>
      <c r="R95" s="54"/>
      <c r="S95" s="54"/>
      <c r="T95" s="117"/>
      <c r="U95" s="17"/>
      <c r="V95" s="83"/>
      <c r="W95" s="54"/>
      <c r="X95" s="54"/>
      <c r="Y95" s="54"/>
      <c r="Z95" s="117"/>
      <c r="AA95" s="17"/>
      <c r="AB95" s="83"/>
      <c r="AC95" s="54"/>
      <c r="AD95" s="54"/>
      <c r="AE95" s="54"/>
      <c r="AF95" s="117"/>
      <c r="AG95" s="17"/>
    </row>
    <row r="96" spans="2:33" x14ac:dyDescent="0.25">
      <c r="B96" s="34"/>
      <c r="C96" s="35"/>
      <c r="D96" s="36"/>
      <c r="E96" s="37"/>
      <c r="F96" s="36"/>
      <c r="H96" s="191"/>
      <c r="I96" s="17"/>
      <c r="J96" s="83"/>
      <c r="K96" s="54"/>
      <c r="L96" s="54"/>
      <c r="M96" s="54"/>
      <c r="N96" s="54"/>
      <c r="O96" s="17"/>
      <c r="P96" s="83"/>
      <c r="Q96" s="54"/>
      <c r="R96" s="54"/>
      <c r="S96" s="54"/>
      <c r="T96" s="117"/>
      <c r="U96" s="17"/>
      <c r="V96" s="83"/>
      <c r="W96" s="54"/>
      <c r="X96" s="54"/>
      <c r="Y96" s="54"/>
      <c r="Z96" s="117"/>
      <c r="AA96" s="17"/>
      <c r="AB96" s="83"/>
      <c r="AC96" s="54"/>
      <c r="AD96" s="54"/>
      <c r="AE96" s="54"/>
      <c r="AF96" s="117"/>
      <c r="AG96" s="17"/>
    </row>
    <row r="97" spans="2:33" x14ac:dyDescent="0.25">
      <c r="B97" s="34"/>
      <c r="C97" s="35"/>
      <c r="D97" s="36"/>
      <c r="E97" s="37"/>
      <c r="F97" s="36"/>
      <c r="H97" s="191"/>
      <c r="I97" s="17"/>
      <c r="J97" s="83"/>
      <c r="K97" s="54"/>
      <c r="L97" s="54"/>
      <c r="M97" s="54"/>
      <c r="N97" s="54"/>
      <c r="O97" s="17"/>
      <c r="P97" s="83"/>
      <c r="Q97" s="54"/>
      <c r="R97" s="54"/>
      <c r="S97" s="54"/>
      <c r="T97" s="117"/>
      <c r="U97" s="17"/>
      <c r="V97" s="83"/>
      <c r="W97" s="54"/>
      <c r="X97" s="54"/>
      <c r="Y97" s="54"/>
      <c r="Z97" s="117"/>
      <c r="AA97" s="17"/>
      <c r="AB97" s="83"/>
      <c r="AC97" s="54"/>
      <c r="AD97" s="54"/>
      <c r="AE97" s="54"/>
      <c r="AF97" s="117"/>
      <c r="AG97" s="17"/>
    </row>
    <row r="98" spans="2:33" x14ac:dyDescent="0.25">
      <c r="B98" s="34"/>
      <c r="C98" s="35"/>
      <c r="D98" s="36"/>
      <c r="E98" s="37"/>
      <c r="F98" s="36"/>
      <c r="H98" s="191"/>
      <c r="I98" s="17"/>
      <c r="J98" s="83"/>
      <c r="K98" s="54"/>
      <c r="L98" s="54"/>
      <c r="M98" s="54"/>
      <c r="N98" s="54"/>
      <c r="O98" s="17"/>
      <c r="P98" s="83"/>
      <c r="Q98" s="54"/>
      <c r="R98" s="54"/>
      <c r="S98" s="54"/>
      <c r="T98" s="117"/>
      <c r="U98" s="17"/>
      <c r="V98" s="83"/>
      <c r="W98" s="54"/>
      <c r="X98" s="54"/>
      <c r="Y98" s="54"/>
      <c r="Z98" s="117"/>
      <c r="AA98" s="17"/>
      <c r="AB98" s="83"/>
      <c r="AC98" s="54"/>
      <c r="AD98" s="54"/>
      <c r="AE98" s="54"/>
      <c r="AF98" s="117"/>
      <c r="AG98" s="17"/>
    </row>
    <row r="99" spans="2:33" x14ac:dyDescent="0.25">
      <c r="B99" s="34"/>
      <c r="C99" s="35"/>
      <c r="D99" s="36"/>
      <c r="E99" s="37"/>
      <c r="F99" s="36"/>
      <c r="H99" s="191"/>
      <c r="I99" s="17"/>
      <c r="J99" s="83"/>
      <c r="K99" s="54"/>
      <c r="L99" s="54"/>
      <c r="M99" s="54"/>
      <c r="N99" s="54"/>
      <c r="O99" s="17"/>
      <c r="P99" s="83"/>
      <c r="Q99" s="54"/>
      <c r="R99" s="54"/>
      <c r="S99" s="54"/>
      <c r="T99" s="117"/>
      <c r="U99" s="17"/>
      <c r="V99" s="83"/>
      <c r="W99" s="54"/>
      <c r="X99" s="54"/>
      <c r="Y99" s="54"/>
      <c r="Z99" s="117"/>
      <c r="AA99" s="17"/>
      <c r="AB99" s="83"/>
      <c r="AC99" s="54"/>
      <c r="AD99" s="54"/>
      <c r="AE99" s="54"/>
      <c r="AF99" s="117"/>
      <c r="AG99" s="17"/>
    </row>
    <row r="100" spans="2:33" x14ac:dyDescent="0.25">
      <c r="B100" s="34"/>
      <c r="C100" s="35"/>
      <c r="D100" s="36"/>
      <c r="E100" s="37"/>
      <c r="F100" s="36"/>
      <c r="H100" s="191"/>
      <c r="I100" s="17"/>
      <c r="J100" s="83"/>
      <c r="K100" s="54"/>
      <c r="L100" s="54"/>
      <c r="M100" s="54"/>
      <c r="N100" s="54"/>
      <c r="O100" s="17"/>
      <c r="P100" s="83"/>
      <c r="Q100" s="54"/>
      <c r="R100" s="54"/>
      <c r="S100" s="54"/>
      <c r="T100" s="117"/>
      <c r="U100" s="17"/>
      <c r="V100" s="83"/>
      <c r="W100" s="54"/>
      <c r="X100" s="54"/>
      <c r="Y100" s="54"/>
      <c r="Z100" s="117"/>
      <c r="AA100" s="17"/>
      <c r="AB100" s="83"/>
      <c r="AC100" s="54"/>
      <c r="AD100" s="54"/>
      <c r="AE100" s="54"/>
      <c r="AF100" s="117"/>
      <c r="AG100" s="17"/>
    </row>
    <row r="101" spans="2:33" x14ac:dyDescent="0.25">
      <c r="B101" s="34"/>
      <c r="C101" s="35"/>
      <c r="D101" s="36"/>
      <c r="E101" s="37"/>
      <c r="F101" s="36"/>
      <c r="H101" s="191"/>
      <c r="I101" s="17"/>
      <c r="J101" s="83"/>
      <c r="K101" s="54"/>
      <c r="L101" s="54"/>
      <c r="M101" s="54"/>
      <c r="N101" s="54"/>
      <c r="O101" s="17"/>
      <c r="P101" s="83"/>
      <c r="Q101" s="54"/>
      <c r="R101" s="54"/>
      <c r="S101" s="54"/>
      <c r="T101" s="117"/>
      <c r="U101" s="17"/>
      <c r="V101" s="83"/>
      <c r="W101" s="54"/>
      <c r="X101" s="54"/>
      <c r="Y101" s="54"/>
      <c r="Z101" s="117"/>
      <c r="AA101" s="17"/>
      <c r="AB101" s="83"/>
      <c r="AC101" s="54"/>
      <c r="AD101" s="54"/>
      <c r="AE101" s="54"/>
      <c r="AF101" s="117"/>
      <c r="AG101" s="17"/>
    </row>
    <row r="102" spans="2:33" x14ac:dyDescent="0.25">
      <c r="B102" s="34"/>
      <c r="C102" s="35"/>
      <c r="D102" s="36"/>
      <c r="E102" s="37"/>
      <c r="F102" s="36"/>
      <c r="H102" s="191"/>
      <c r="I102" s="17"/>
      <c r="J102" s="83"/>
      <c r="K102" s="54"/>
      <c r="L102" s="54"/>
      <c r="M102" s="54"/>
      <c r="N102" s="54"/>
      <c r="O102" s="17"/>
      <c r="P102" s="83"/>
      <c r="Q102" s="54"/>
      <c r="R102" s="54"/>
      <c r="S102" s="54"/>
      <c r="T102" s="117"/>
      <c r="U102" s="17"/>
      <c r="V102" s="83"/>
      <c r="W102" s="54"/>
      <c r="X102" s="54"/>
      <c r="Y102" s="54"/>
      <c r="Z102" s="117"/>
      <c r="AA102" s="17"/>
      <c r="AB102" s="83"/>
      <c r="AC102" s="54"/>
      <c r="AD102" s="54"/>
      <c r="AE102" s="54"/>
      <c r="AF102" s="117"/>
      <c r="AG102" s="17"/>
    </row>
    <row r="103" spans="2:33" x14ac:dyDescent="0.25">
      <c r="B103" s="34"/>
      <c r="C103" s="35"/>
      <c r="D103" s="36"/>
      <c r="E103" s="37"/>
      <c r="F103" s="36"/>
      <c r="H103" s="191"/>
      <c r="I103" s="17"/>
      <c r="J103" s="83"/>
      <c r="K103" s="54"/>
      <c r="L103" s="54"/>
      <c r="M103" s="54"/>
      <c r="N103" s="54"/>
      <c r="O103" s="17"/>
      <c r="P103" s="83"/>
      <c r="Q103" s="54"/>
      <c r="R103" s="54"/>
      <c r="S103" s="54"/>
      <c r="T103" s="117"/>
      <c r="U103" s="17"/>
      <c r="V103" s="83"/>
      <c r="W103" s="54"/>
      <c r="X103" s="54"/>
      <c r="Y103" s="54"/>
      <c r="Z103" s="117"/>
      <c r="AA103" s="17"/>
      <c r="AB103" s="83"/>
      <c r="AC103" s="54"/>
      <c r="AD103" s="54"/>
      <c r="AE103" s="54"/>
      <c r="AF103" s="117"/>
      <c r="AG103" s="17"/>
    </row>
    <row r="104" spans="2:33" x14ac:dyDescent="0.25">
      <c r="B104" s="34"/>
      <c r="C104" s="35"/>
      <c r="D104" s="36"/>
      <c r="E104" s="37"/>
      <c r="F104" s="36"/>
      <c r="H104" s="191"/>
      <c r="I104" s="17"/>
      <c r="J104" s="83"/>
      <c r="K104" s="54"/>
      <c r="L104" s="54"/>
      <c r="M104" s="54"/>
      <c r="N104" s="54"/>
      <c r="O104" s="17"/>
      <c r="P104" s="83"/>
      <c r="Q104" s="54"/>
      <c r="R104" s="54"/>
      <c r="S104" s="54"/>
      <c r="T104" s="117"/>
      <c r="U104" s="17"/>
      <c r="V104" s="83"/>
      <c r="W104" s="54"/>
      <c r="X104" s="54"/>
      <c r="Y104" s="54"/>
      <c r="Z104" s="117"/>
      <c r="AA104" s="17"/>
      <c r="AB104" s="83"/>
      <c r="AC104" s="54"/>
      <c r="AD104" s="54"/>
      <c r="AE104" s="54"/>
      <c r="AF104" s="117"/>
      <c r="AG104" s="17"/>
    </row>
    <row r="105" spans="2:33" x14ac:dyDescent="0.25">
      <c r="B105" s="34"/>
      <c r="C105" s="35"/>
      <c r="D105" s="36"/>
      <c r="E105" s="37"/>
      <c r="F105" s="36"/>
      <c r="H105" s="191"/>
      <c r="I105" s="17"/>
      <c r="J105" s="83"/>
      <c r="K105" s="54"/>
      <c r="L105" s="54"/>
      <c r="M105" s="54"/>
      <c r="N105" s="54"/>
      <c r="O105" s="17"/>
      <c r="P105" s="83"/>
      <c r="Q105" s="54"/>
      <c r="R105" s="54"/>
      <c r="S105" s="54"/>
      <c r="T105" s="117"/>
      <c r="U105" s="17"/>
      <c r="V105" s="83"/>
      <c r="W105" s="54"/>
      <c r="X105" s="54"/>
      <c r="Y105" s="54"/>
      <c r="Z105" s="117"/>
      <c r="AA105" s="17"/>
      <c r="AB105" s="83"/>
      <c r="AC105" s="54"/>
      <c r="AD105" s="54"/>
      <c r="AE105" s="54"/>
      <c r="AF105" s="117"/>
      <c r="AG105" s="17"/>
    </row>
    <row r="106" spans="2:33" x14ac:dyDescent="0.25">
      <c r="B106" s="34"/>
      <c r="C106" s="35"/>
      <c r="D106" s="36"/>
      <c r="E106" s="37"/>
      <c r="F106" s="36"/>
      <c r="H106" s="191"/>
      <c r="I106" s="17"/>
      <c r="J106" s="83"/>
      <c r="K106" s="54"/>
      <c r="L106" s="54"/>
      <c r="M106" s="54"/>
      <c r="N106" s="54"/>
      <c r="O106" s="17"/>
      <c r="P106" s="83"/>
      <c r="Q106" s="54"/>
      <c r="R106" s="54"/>
      <c r="S106" s="54"/>
      <c r="T106" s="117"/>
      <c r="U106" s="17"/>
      <c r="V106" s="83"/>
      <c r="W106" s="54"/>
      <c r="X106" s="54"/>
      <c r="Y106" s="54"/>
      <c r="Z106" s="117"/>
      <c r="AA106" s="17"/>
      <c r="AB106" s="83"/>
      <c r="AC106" s="54"/>
      <c r="AD106" s="54"/>
      <c r="AE106" s="54"/>
      <c r="AF106" s="117"/>
      <c r="AG106" s="17"/>
    </row>
    <row r="107" spans="2:33" x14ac:dyDescent="0.25">
      <c r="B107" s="34"/>
      <c r="C107" s="35"/>
      <c r="D107" s="36"/>
      <c r="E107" s="37"/>
      <c r="F107" s="36"/>
      <c r="H107" s="191"/>
      <c r="I107" s="17"/>
      <c r="J107" s="83"/>
      <c r="K107" s="54"/>
      <c r="L107" s="54"/>
      <c r="M107" s="54"/>
      <c r="N107" s="54"/>
      <c r="O107" s="17"/>
      <c r="P107" s="83"/>
      <c r="Q107" s="54"/>
      <c r="R107" s="54"/>
      <c r="S107" s="54"/>
      <c r="T107" s="117"/>
      <c r="U107" s="17"/>
      <c r="V107" s="83"/>
      <c r="W107" s="54"/>
      <c r="X107" s="54"/>
      <c r="Y107" s="54"/>
      <c r="Z107" s="117"/>
      <c r="AA107" s="17"/>
      <c r="AB107" s="83"/>
      <c r="AC107" s="54"/>
      <c r="AD107" s="54"/>
      <c r="AE107" s="54"/>
      <c r="AF107" s="117"/>
      <c r="AG107" s="17"/>
    </row>
    <row r="108" spans="2:33" x14ac:dyDescent="0.25">
      <c r="B108" s="34"/>
      <c r="C108" s="35"/>
      <c r="D108" s="36"/>
      <c r="E108" s="37"/>
      <c r="F108" s="36"/>
      <c r="H108" s="191"/>
      <c r="I108" s="17"/>
      <c r="J108" s="83"/>
      <c r="K108" s="54"/>
      <c r="L108" s="54"/>
      <c r="M108" s="54"/>
      <c r="N108" s="54"/>
      <c r="O108" s="17"/>
      <c r="P108" s="83"/>
      <c r="Q108" s="54"/>
      <c r="R108" s="54"/>
      <c r="S108" s="54"/>
      <c r="T108" s="117"/>
      <c r="U108" s="17"/>
      <c r="V108" s="83"/>
      <c r="W108" s="54"/>
      <c r="X108" s="54"/>
      <c r="Y108" s="54"/>
      <c r="Z108" s="117"/>
      <c r="AA108" s="17"/>
      <c r="AB108" s="83"/>
      <c r="AC108" s="54"/>
      <c r="AD108" s="54"/>
      <c r="AE108" s="54"/>
      <c r="AF108" s="117"/>
      <c r="AG108" s="17"/>
    </row>
    <row r="109" spans="2:33" x14ac:dyDescent="0.25">
      <c r="B109" s="34"/>
      <c r="C109" s="35"/>
      <c r="D109" s="36"/>
      <c r="E109" s="37"/>
      <c r="F109" s="36"/>
      <c r="H109" s="191"/>
      <c r="I109" s="17"/>
      <c r="J109" s="83"/>
      <c r="K109" s="54"/>
      <c r="L109" s="54"/>
      <c r="M109" s="54"/>
      <c r="N109" s="54"/>
      <c r="O109" s="17"/>
      <c r="P109" s="83"/>
      <c r="Q109" s="54"/>
      <c r="R109" s="54"/>
      <c r="S109" s="54"/>
      <c r="T109" s="117"/>
      <c r="U109" s="17"/>
      <c r="V109" s="83"/>
      <c r="W109" s="54"/>
      <c r="X109" s="54"/>
      <c r="Y109" s="54"/>
      <c r="Z109" s="117"/>
      <c r="AA109" s="17"/>
      <c r="AB109" s="83"/>
      <c r="AC109" s="54"/>
      <c r="AD109" s="54"/>
      <c r="AE109" s="54"/>
      <c r="AF109" s="117"/>
      <c r="AG109" s="17"/>
    </row>
    <row r="110" spans="2:33" x14ac:dyDescent="0.25">
      <c r="B110" s="34"/>
      <c r="C110" s="35"/>
      <c r="D110" s="36"/>
      <c r="E110" s="37"/>
      <c r="F110" s="36"/>
      <c r="H110" s="191"/>
      <c r="I110" s="17"/>
      <c r="J110" s="83"/>
      <c r="K110" s="54"/>
      <c r="L110" s="54"/>
      <c r="M110" s="54"/>
      <c r="N110" s="54"/>
      <c r="O110" s="17"/>
      <c r="P110" s="83"/>
      <c r="Q110" s="54"/>
      <c r="R110" s="54"/>
      <c r="S110" s="54"/>
      <c r="T110" s="117"/>
      <c r="U110" s="17"/>
      <c r="V110" s="83"/>
      <c r="W110" s="54"/>
      <c r="X110" s="54"/>
      <c r="Y110" s="54"/>
      <c r="Z110" s="117"/>
      <c r="AA110" s="17"/>
      <c r="AB110" s="83"/>
      <c r="AC110" s="54"/>
      <c r="AD110" s="54"/>
      <c r="AE110" s="54"/>
      <c r="AF110" s="117"/>
      <c r="AG110" s="17"/>
    </row>
    <row r="112" spans="2:33" x14ac:dyDescent="0.25">
      <c r="B112" s="15"/>
    </row>
    <row r="113" spans="2:3" x14ac:dyDescent="0.25">
      <c r="C113" s="82"/>
    </row>
    <row r="123" spans="2:3" s="154" customFormat="1" x14ac:dyDescent="0.25">
      <c r="B123" s="154" t="s">
        <v>181</v>
      </c>
    </row>
  </sheetData>
  <sortState ref="B14:AW115">
    <sortCondition ref="C14:C115"/>
  </sortState>
  <mergeCells count="4">
    <mergeCell ref="V4:Z4"/>
    <mergeCell ref="AB4:AF4"/>
    <mergeCell ref="W9:Z9"/>
    <mergeCell ref="AC9:AF9"/>
  </mergeCells>
  <conditionalFormatting sqref="K10:K110">
    <cfRule type="expression" dxfId="21" priority="21">
      <formula>$K10&lt;$H10</formula>
    </cfRule>
  </conditionalFormatting>
  <conditionalFormatting sqref="K10:N110">
    <cfRule type="expression" dxfId="20" priority="20">
      <formula>K10&lt;1</formula>
    </cfRule>
  </conditionalFormatting>
  <conditionalFormatting sqref="L10:L110">
    <cfRule type="expression" dxfId="19" priority="19">
      <formula>$L10&lt;$H10</formula>
    </cfRule>
  </conditionalFormatting>
  <conditionalFormatting sqref="M10:M110">
    <cfRule type="expression" dxfId="18" priority="18">
      <formula>$M10&lt;$H10</formula>
    </cfRule>
  </conditionalFormatting>
  <conditionalFormatting sqref="N10:N110">
    <cfRule type="expression" dxfId="17" priority="17">
      <formula>$N10&lt;$H10</formula>
    </cfRule>
  </conditionalFormatting>
  <conditionalFormatting sqref="R10:R110">
    <cfRule type="expression" dxfId="16" priority="16">
      <formula>$R10&lt;$H10</formula>
    </cfRule>
  </conditionalFormatting>
  <conditionalFormatting sqref="Q10:T110">
    <cfRule type="expression" dxfId="15" priority="15">
      <formula>P10&lt;1</formula>
    </cfRule>
  </conditionalFormatting>
  <conditionalFormatting sqref="S10:S110">
    <cfRule type="expression" dxfId="14" priority="14">
      <formula>$S10&lt;$H10</formula>
    </cfRule>
  </conditionalFormatting>
  <conditionalFormatting sqref="T10:T110">
    <cfRule type="expression" dxfId="13" priority="13">
      <formula>$T10&lt;$H10</formula>
    </cfRule>
  </conditionalFormatting>
  <conditionalFormatting sqref="Y10:Y110">
    <cfRule type="expression" dxfId="12" priority="12">
      <formula>$Y10&lt;$H10</formula>
    </cfRule>
  </conditionalFormatting>
  <conditionalFormatting sqref="W10:Z110">
    <cfRule type="expression" dxfId="11" priority="11">
      <formula>W10&lt;1</formula>
    </cfRule>
  </conditionalFormatting>
  <conditionalFormatting sqref="Z10:Z110">
    <cfRule type="expression" dxfId="10" priority="10">
      <formula>$Z10&lt;$H10</formula>
    </cfRule>
  </conditionalFormatting>
  <conditionalFormatting sqref="AF10:AF110">
    <cfRule type="expression" dxfId="9" priority="9">
      <formula>$AF10&lt;$H10</formula>
    </cfRule>
  </conditionalFormatting>
  <conditionalFormatting sqref="AC10:AF110">
    <cfRule type="expression" dxfId="8" priority="8">
      <formula>AC10&lt;1</formula>
    </cfRule>
  </conditionalFormatting>
  <conditionalFormatting sqref="Q10:Q110">
    <cfRule type="expression" dxfId="7" priority="7">
      <formula>$Q10&lt;$H10</formula>
    </cfRule>
  </conditionalFormatting>
  <conditionalFormatting sqref="W10:W110">
    <cfRule type="expression" dxfId="6" priority="6">
      <formula>$W10&lt;$H10</formula>
    </cfRule>
  </conditionalFormatting>
  <conditionalFormatting sqref="X10:X110">
    <cfRule type="expression" dxfId="5" priority="5">
      <formula>$X10&lt;$H10</formula>
    </cfRule>
  </conditionalFormatting>
  <conditionalFormatting sqref="AC10:AC110">
    <cfRule type="expression" dxfId="4" priority="3">
      <formula>$AC10&lt;$H10</formula>
    </cfRule>
  </conditionalFormatting>
  <conditionalFormatting sqref="AD10:AD110">
    <cfRule type="expression" dxfId="3" priority="2">
      <formula>$AD10&lt;$H10</formula>
    </cfRule>
  </conditionalFormatting>
  <conditionalFormatting sqref="AE10:AE110">
    <cfRule type="expression" dxfId="2" priority="1">
      <formula>$AE10&lt;$H10</formula>
    </cfRule>
  </conditionalFormatting>
  <pageMargins left="0.7" right="0.7" top="0.75" bottom="0.75" header="0.3" footer="0.3"/>
  <pageSetup scale="75" fitToWidth="0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71FC7-A776-4508-A338-1BA4BAFA4339}">
  <dimension ref="B2:S1120"/>
  <sheetViews>
    <sheetView showGridLines="0" workbookViewId="0"/>
  </sheetViews>
  <sheetFormatPr defaultRowHeight="15" x14ac:dyDescent="0.25"/>
  <cols>
    <col min="1" max="1" width="2.5703125" customWidth="1"/>
    <col min="2" max="2" width="5.28515625" customWidth="1"/>
    <col min="3" max="3" width="31.5703125" customWidth="1"/>
    <col min="4" max="4" width="33.28515625" customWidth="1"/>
    <col min="5" max="5" width="12.7109375" customWidth="1"/>
    <col min="6" max="6" width="16.85546875" customWidth="1"/>
    <col min="7" max="7" width="17.28515625" bestFit="1" customWidth="1"/>
    <col min="8" max="8" width="10.7109375" bestFit="1" customWidth="1"/>
    <col min="9" max="9" width="9.5703125" bestFit="1" customWidth="1"/>
    <col min="10" max="10" width="22.7109375" customWidth="1"/>
    <col min="11" max="11" width="17" customWidth="1"/>
    <col min="12" max="12" width="22.7109375" customWidth="1"/>
    <col min="13" max="13" width="18.28515625" customWidth="1"/>
    <col min="14" max="14" width="22.7109375" customWidth="1"/>
    <col min="15" max="15" width="19" customWidth="1"/>
    <col min="16" max="16" width="22.85546875" customWidth="1"/>
    <col min="17" max="17" width="18.42578125" customWidth="1"/>
    <col min="18" max="18" width="22.7109375" customWidth="1"/>
    <col min="19" max="19" width="20.28515625" customWidth="1"/>
  </cols>
  <sheetData>
    <row r="2" spans="2:19" s="20" customFormat="1" ht="15" customHeight="1" x14ac:dyDescent="0.25">
      <c r="B2" s="4"/>
      <c r="C2" s="85" t="s">
        <v>196</v>
      </c>
      <c r="D2" s="86"/>
      <c r="E2" s="85"/>
      <c r="F2" s="87"/>
      <c r="J2" s="49"/>
      <c r="K2" s="49"/>
      <c r="L2" s="49"/>
      <c r="M2" s="49"/>
      <c r="N2" s="49"/>
    </row>
    <row r="3" spans="2:19" s="20" customFormat="1" x14ac:dyDescent="0.25">
      <c r="B3" s="23"/>
      <c r="C3" s="193" t="s">
        <v>61</v>
      </c>
      <c r="D3" s="85" t="s">
        <v>60</v>
      </c>
      <c r="E3" s="86"/>
      <c r="F3" s="89"/>
    </row>
    <row r="4" spans="2:19" x14ac:dyDescent="0.25">
      <c r="C4">
        <f>DATA_DOWNLOADS!B2</f>
        <v>0</v>
      </c>
      <c r="D4">
        <f>DATA_DOWNLOADS!D2</f>
        <v>0</v>
      </c>
    </row>
    <row r="5" spans="2:19" x14ac:dyDescent="0.25">
      <c r="C5" s="1" t="s">
        <v>37</v>
      </c>
    </row>
    <row r="6" spans="2:19" x14ac:dyDescent="0.25">
      <c r="C6" s="196">
        <f>DATA_DOWNLOADS!D1</f>
        <v>0</v>
      </c>
    </row>
    <row r="7" spans="2:19" x14ac:dyDescent="0.25">
      <c r="C7" s="1" t="s">
        <v>38</v>
      </c>
    </row>
    <row r="8" spans="2:19" x14ac:dyDescent="0.25">
      <c r="C8">
        <f>DATA_DOWNLOADS!F4</f>
        <v>0</v>
      </c>
    </row>
    <row r="10" spans="2:19" ht="29.25" customHeight="1" x14ac:dyDescent="0.25">
      <c r="B10" s="28" t="s">
        <v>3</v>
      </c>
      <c r="C10" s="41" t="s">
        <v>62</v>
      </c>
      <c r="D10" s="67" t="s">
        <v>182</v>
      </c>
      <c r="E10" s="41" t="s">
        <v>183</v>
      </c>
      <c r="F10" s="41" t="s">
        <v>184</v>
      </c>
      <c r="G10" s="41" t="s">
        <v>5</v>
      </c>
      <c r="H10" s="41" t="s">
        <v>1</v>
      </c>
      <c r="I10" s="41" t="s">
        <v>185</v>
      </c>
      <c r="J10" s="41" t="s">
        <v>186</v>
      </c>
      <c r="K10" s="41" t="s">
        <v>190</v>
      </c>
      <c r="L10" s="41" t="s">
        <v>187</v>
      </c>
      <c r="M10" s="41" t="s">
        <v>191</v>
      </c>
      <c r="N10" s="41" t="s">
        <v>188</v>
      </c>
      <c r="O10" s="41" t="s">
        <v>192</v>
      </c>
      <c r="P10" s="41" t="s">
        <v>189</v>
      </c>
      <c r="Q10" s="41" t="s">
        <v>193</v>
      </c>
      <c r="R10" s="41" t="s">
        <v>195</v>
      </c>
      <c r="S10" s="41" t="s">
        <v>194</v>
      </c>
    </row>
    <row r="11" spans="2:19" x14ac:dyDescent="0.25"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</row>
    <row r="12" spans="2:19" x14ac:dyDescent="0.25"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</row>
    <row r="13" spans="2:19" x14ac:dyDescent="0.25"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</row>
    <row r="14" spans="2:19" x14ac:dyDescent="0.25"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</row>
    <row r="15" spans="2:19" x14ac:dyDescent="0.25"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</row>
    <row r="16" spans="2:19" x14ac:dyDescent="0.25"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</row>
    <row r="17" spans="3:19" x14ac:dyDescent="0.25">
      <c r="C17" s="198"/>
      <c r="D17" s="198"/>
      <c r="E17" s="198"/>
      <c r="F17" s="198"/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</row>
    <row r="18" spans="3:19" x14ac:dyDescent="0.25">
      <c r="C18" s="198"/>
      <c r="D18" s="198"/>
      <c r="E18" s="198"/>
      <c r="F18" s="198"/>
      <c r="G18" s="198"/>
      <c r="H18" s="198"/>
      <c r="I18" s="198"/>
      <c r="J18" s="198"/>
      <c r="K18" s="198"/>
      <c r="L18" s="198"/>
      <c r="M18" s="198"/>
      <c r="N18" s="198"/>
      <c r="O18" s="198"/>
      <c r="P18" s="198"/>
      <c r="Q18" s="198"/>
      <c r="R18" s="198"/>
      <c r="S18" s="198"/>
    </row>
    <row r="19" spans="3:19" x14ac:dyDescent="0.25">
      <c r="C19" s="198"/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</row>
    <row r="20" spans="3:19" x14ac:dyDescent="0.25">
      <c r="C20" s="198"/>
      <c r="D20" s="198"/>
      <c r="E20" s="198"/>
      <c r="F20" s="198"/>
      <c r="G20" s="198"/>
      <c r="H20" s="198"/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</row>
    <row r="21" spans="3:19" x14ac:dyDescent="0.25">
      <c r="C21" s="198"/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8"/>
      <c r="P21" s="198"/>
      <c r="Q21" s="198"/>
      <c r="R21" s="198"/>
      <c r="S21" s="198"/>
    </row>
    <row r="22" spans="3:19" x14ac:dyDescent="0.25"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</row>
    <row r="23" spans="3:19" x14ac:dyDescent="0.25">
      <c r="C23" s="198"/>
      <c r="D23" s="198"/>
      <c r="E23" s="198"/>
      <c r="F23" s="198"/>
      <c r="G23" s="198"/>
      <c r="H23" s="198"/>
      <c r="I23" s="198"/>
      <c r="J23" s="198"/>
      <c r="K23" s="198"/>
      <c r="L23" s="198"/>
      <c r="M23" s="198"/>
      <c r="N23" s="198"/>
      <c r="O23" s="198"/>
      <c r="P23" s="198"/>
      <c r="Q23" s="198"/>
      <c r="R23" s="198"/>
      <c r="S23" s="198"/>
    </row>
    <row r="24" spans="3:19" x14ac:dyDescent="0.25">
      <c r="C24" s="198"/>
      <c r="D24" s="198"/>
      <c r="E24" s="198"/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</row>
    <row r="25" spans="3:19" x14ac:dyDescent="0.25"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</row>
    <row r="26" spans="3:19" x14ac:dyDescent="0.25"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8"/>
    </row>
    <row r="27" spans="3:19" x14ac:dyDescent="0.25"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</row>
    <row r="28" spans="3:19" x14ac:dyDescent="0.25">
      <c r="C28" s="198"/>
      <c r="D28" s="198"/>
      <c r="E28" s="198"/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</row>
    <row r="29" spans="3:19" x14ac:dyDescent="0.25">
      <c r="C29" s="198"/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</row>
    <row r="30" spans="3:19" x14ac:dyDescent="0.25">
      <c r="C30" s="198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</row>
    <row r="31" spans="3:19" x14ac:dyDescent="0.25">
      <c r="C31" s="198"/>
      <c r="D31" s="198"/>
      <c r="E31" s="198"/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</row>
    <row r="32" spans="3:19" x14ac:dyDescent="0.25"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</row>
    <row r="33" spans="3:19" x14ac:dyDescent="0.25">
      <c r="C33" s="198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</row>
    <row r="34" spans="3:19" x14ac:dyDescent="0.25"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</row>
    <row r="35" spans="3:19" x14ac:dyDescent="0.25"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</row>
    <row r="36" spans="3:19" x14ac:dyDescent="0.25"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</row>
    <row r="37" spans="3:19" x14ac:dyDescent="0.25"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</row>
    <row r="38" spans="3:19" x14ac:dyDescent="0.25"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</row>
    <row r="39" spans="3:19" x14ac:dyDescent="0.25"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</row>
    <row r="40" spans="3:19" x14ac:dyDescent="0.25"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</row>
    <row r="41" spans="3:19" x14ac:dyDescent="0.25"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</row>
    <row r="42" spans="3:19" x14ac:dyDescent="0.25"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</row>
    <row r="43" spans="3:19" x14ac:dyDescent="0.25"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</row>
    <row r="44" spans="3:19" x14ac:dyDescent="0.25"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</row>
    <row r="45" spans="3:19" x14ac:dyDescent="0.25"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</row>
    <row r="46" spans="3:19" x14ac:dyDescent="0.25"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</row>
    <row r="47" spans="3:19" x14ac:dyDescent="0.25"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</row>
    <row r="48" spans="3:19" x14ac:dyDescent="0.25"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</row>
    <row r="49" spans="3:19" x14ac:dyDescent="0.25"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</row>
    <row r="50" spans="3:19" x14ac:dyDescent="0.25"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</row>
    <row r="51" spans="3:19" x14ac:dyDescent="0.25"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</row>
    <row r="52" spans="3:19" x14ac:dyDescent="0.25"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</row>
    <row r="53" spans="3:19" x14ac:dyDescent="0.25"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</row>
    <row r="54" spans="3:19" x14ac:dyDescent="0.25"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</row>
    <row r="55" spans="3:19" x14ac:dyDescent="0.25"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</row>
    <row r="56" spans="3:19" x14ac:dyDescent="0.25"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</row>
    <row r="57" spans="3:19" x14ac:dyDescent="0.25"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</row>
    <row r="58" spans="3:19" x14ac:dyDescent="0.25"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</row>
    <row r="59" spans="3:19" x14ac:dyDescent="0.25"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</row>
    <row r="60" spans="3:19" x14ac:dyDescent="0.25">
      <c r="C60" s="198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</row>
    <row r="61" spans="3:19" x14ac:dyDescent="0.25"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</row>
    <row r="62" spans="3:19" x14ac:dyDescent="0.25"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</row>
    <row r="63" spans="3:19" x14ac:dyDescent="0.25">
      <c r="C63" s="198"/>
      <c r="D63" s="198"/>
      <c r="E63" s="198"/>
      <c r="F63" s="198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</row>
    <row r="64" spans="3:19" x14ac:dyDescent="0.25"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</row>
    <row r="65" spans="3:19" x14ac:dyDescent="0.25"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</row>
    <row r="66" spans="3:19" x14ac:dyDescent="0.25"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</row>
    <row r="67" spans="3:19" x14ac:dyDescent="0.25"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</row>
    <row r="68" spans="3:19" x14ac:dyDescent="0.25"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</row>
    <row r="69" spans="3:19" x14ac:dyDescent="0.25"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</row>
    <row r="70" spans="3:19" x14ac:dyDescent="0.25">
      <c r="C70" s="198"/>
      <c r="D70" s="198"/>
      <c r="E70" s="198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</row>
    <row r="71" spans="3:19" x14ac:dyDescent="0.25"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</row>
    <row r="72" spans="3:19" x14ac:dyDescent="0.25"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</row>
    <row r="73" spans="3:19" x14ac:dyDescent="0.25"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</row>
    <row r="74" spans="3:19" x14ac:dyDescent="0.25">
      <c r="C74" s="198"/>
      <c r="D74" s="198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</row>
    <row r="75" spans="3:19" x14ac:dyDescent="0.25"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</row>
    <row r="76" spans="3:19" x14ac:dyDescent="0.25"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</row>
    <row r="77" spans="3:19" x14ac:dyDescent="0.25"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</row>
    <row r="78" spans="3:19" x14ac:dyDescent="0.25">
      <c r="C78" s="198"/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</row>
    <row r="79" spans="3:19" x14ac:dyDescent="0.25"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</row>
    <row r="80" spans="3:19" x14ac:dyDescent="0.25"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</row>
    <row r="81" spans="3:19" x14ac:dyDescent="0.25"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</row>
    <row r="82" spans="3:19" x14ac:dyDescent="0.25">
      <c r="C82" s="198"/>
      <c r="D82" s="198"/>
      <c r="E82" s="198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</row>
    <row r="83" spans="3:19" x14ac:dyDescent="0.25"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</row>
    <row r="84" spans="3:19" x14ac:dyDescent="0.25">
      <c r="C84" s="198"/>
      <c r="D84" s="198"/>
      <c r="E84" s="198"/>
      <c r="F84" s="198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</row>
    <row r="85" spans="3:19" x14ac:dyDescent="0.25">
      <c r="C85" s="198"/>
      <c r="D85" s="198"/>
      <c r="E85" s="198"/>
      <c r="F85" s="198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</row>
    <row r="86" spans="3:19" x14ac:dyDescent="0.25"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</row>
    <row r="87" spans="3:19" x14ac:dyDescent="0.25">
      <c r="C87" s="198"/>
      <c r="D87" s="198"/>
      <c r="E87" s="198"/>
      <c r="F87" s="198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</row>
    <row r="88" spans="3:19" x14ac:dyDescent="0.25">
      <c r="C88" s="198"/>
      <c r="D88" s="198"/>
      <c r="E88" s="198"/>
      <c r="F88" s="198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</row>
    <row r="89" spans="3:19" x14ac:dyDescent="0.25"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</row>
    <row r="90" spans="3:19" x14ac:dyDescent="0.25">
      <c r="C90" s="198"/>
      <c r="D90" s="198"/>
      <c r="E90" s="198"/>
      <c r="F90" s="198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</row>
    <row r="91" spans="3:19" x14ac:dyDescent="0.25"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</row>
    <row r="92" spans="3:19" x14ac:dyDescent="0.25">
      <c r="C92" s="198"/>
      <c r="D92" s="198"/>
      <c r="E92" s="198"/>
      <c r="F92" s="198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</row>
    <row r="93" spans="3:19" x14ac:dyDescent="0.25">
      <c r="C93" s="198"/>
      <c r="D93" s="198"/>
      <c r="E93" s="198"/>
      <c r="F93" s="198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</row>
    <row r="94" spans="3:19" x14ac:dyDescent="0.25">
      <c r="C94" s="198"/>
      <c r="D94" s="198"/>
      <c r="E94" s="198"/>
      <c r="F94" s="198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</row>
    <row r="95" spans="3:19" x14ac:dyDescent="0.25"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</row>
    <row r="96" spans="3:19" x14ac:dyDescent="0.25">
      <c r="C96" s="198"/>
      <c r="D96" s="198"/>
      <c r="E96" s="198"/>
      <c r="F96" s="198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</row>
    <row r="97" spans="3:19" x14ac:dyDescent="0.25"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</row>
    <row r="98" spans="3:19" x14ac:dyDescent="0.25">
      <c r="C98" s="198"/>
      <c r="D98" s="198"/>
      <c r="E98" s="198"/>
      <c r="F98" s="198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</row>
    <row r="99" spans="3:19" x14ac:dyDescent="0.25">
      <c r="C99" s="198"/>
      <c r="D99" s="198"/>
      <c r="E99" s="198"/>
      <c r="F99" s="198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</row>
    <row r="100" spans="3:19" x14ac:dyDescent="0.25"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</row>
    <row r="101" spans="3:19" x14ac:dyDescent="0.25">
      <c r="C101" s="198"/>
      <c r="D101" s="198"/>
      <c r="E101" s="198"/>
      <c r="F101" s="198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</row>
    <row r="102" spans="3:19" x14ac:dyDescent="0.25">
      <c r="C102" s="198"/>
      <c r="D102" s="198"/>
      <c r="E102" s="198"/>
      <c r="F102" s="198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</row>
    <row r="103" spans="3:19" x14ac:dyDescent="0.25"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</row>
    <row r="104" spans="3:19" x14ac:dyDescent="0.25">
      <c r="C104" s="198"/>
      <c r="D104" s="198"/>
      <c r="E104" s="198"/>
      <c r="F104" s="198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</row>
    <row r="105" spans="3:19" x14ac:dyDescent="0.25"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</row>
    <row r="106" spans="3:19" x14ac:dyDescent="0.25">
      <c r="C106" s="198"/>
      <c r="D106" s="198"/>
      <c r="E106" s="198"/>
      <c r="F106" s="198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</row>
    <row r="107" spans="3:19" x14ac:dyDescent="0.25"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</row>
    <row r="108" spans="3:19" x14ac:dyDescent="0.25">
      <c r="C108" s="198"/>
      <c r="D108" s="198"/>
      <c r="E108" s="198"/>
      <c r="F108" s="198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</row>
    <row r="109" spans="3:19" x14ac:dyDescent="0.25"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</row>
    <row r="110" spans="3:19" x14ac:dyDescent="0.25">
      <c r="C110" s="198"/>
      <c r="D110" s="198"/>
      <c r="E110" s="198"/>
      <c r="F110" s="198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</row>
    <row r="111" spans="3:19" x14ac:dyDescent="0.25"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</row>
    <row r="112" spans="3:19" x14ac:dyDescent="0.25">
      <c r="C112" s="198"/>
      <c r="D112" s="198"/>
      <c r="E112" s="198"/>
      <c r="F112" s="198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</row>
    <row r="113" spans="3:19" x14ac:dyDescent="0.25"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</row>
    <row r="114" spans="3:19" x14ac:dyDescent="0.25">
      <c r="C114" s="198"/>
      <c r="D114" s="198"/>
      <c r="E114" s="198"/>
      <c r="F114" s="198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</row>
    <row r="115" spans="3:19" x14ac:dyDescent="0.25"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</row>
    <row r="116" spans="3:19" x14ac:dyDescent="0.25">
      <c r="C116" s="198"/>
      <c r="D116" s="198"/>
      <c r="E116" s="198"/>
      <c r="F116" s="198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</row>
    <row r="117" spans="3:19" x14ac:dyDescent="0.25"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</row>
    <row r="118" spans="3:19" x14ac:dyDescent="0.25"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</row>
    <row r="119" spans="3:19" x14ac:dyDescent="0.25"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</row>
    <row r="120" spans="3:19" x14ac:dyDescent="0.25"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</row>
    <row r="121" spans="3:19" x14ac:dyDescent="0.25"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</row>
    <row r="122" spans="3:19" x14ac:dyDescent="0.25">
      <c r="C122" s="198"/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</row>
    <row r="123" spans="3:19" x14ac:dyDescent="0.25">
      <c r="C123" s="198"/>
      <c r="D123" s="198"/>
      <c r="E123" s="198"/>
      <c r="F123" s="198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</row>
    <row r="124" spans="3:19" x14ac:dyDescent="0.25">
      <c r="C124" s="198"/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</row>
    <row r="125" spans="3:19" x14ac:dyDescent="0.25">
      <c r="C125" s="198"/>
      <c r="D125" s="198"/>
      <c r="E125" s="198"/>
      <c r="F125" s="198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</row>
    <row r="126" spans="3:19" x14ac:dyDescent="0.25">
      <c r="C126" s="198"/>
      <c r="D126" s="198"/>
      <c r="E126" s="198"/>
      <c r="F126" s="198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</row>
    <row r="127" spans="3:19" x14ac:dyDescent="0.25">
      <c r="C127" s="198"/>
      <c r="D127" s="198"/>
      <c r="E127" s="198"/>
      <c r="F127" s="198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</row>
    <row r="128" spans="3:19" x14ac:dyDescent="0.25">
      <c r="C128" s="198"/>
      <c r="D128" s="198"/>
      <c r="E128" s="198"/>
      <c r="F128" s="198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</row>
    <row r="129" spans="3:19" x14ac:dyDescent="0.25"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</row>
    <row r="130" spans="3:19" x14ac:dyDescent="0.25"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</row>
    <row r="131" spans="3:19" x14ac:dyDescent="0.25">
      <c r="C131" s="198"/>
      <c r="D131" s="198"/>
      <c r="E131" s="198"/>
      <c r="F131" s="198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</row>
    <row r="132" spans="3:19" x14ac:dyDescent="0.25">
      <c r="C132" s="198"/>
      <c r="D132" s="198"/>
      <c r="E132" s="198"/>
      <c r="F132" s="198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</row>
    <row r="133" spans="3:19" x14ac:dyDescent="0.25">
      <c r="C133" s="198"/>
      <c r="D133" s="198"/>
      <c r="E133" s="198"/>
      <c r="F133" s="198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</row>
    <row r="134" spans="3:19" x14ac:dyDescent="0.25">
      <c r="C134" s="198"/>
      <c r="D134" s="198"/>
      <c r="E134" s="198"/>
      <c r="F134" s="198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</row>
    <row r="135" spans="3:19" x14ac:dyDescent="0.25">
      <c r="C135" s="198"/>
      <c r="D135" s="198"/>
      <c r="E135" s="198"/>
      <c r="F135" s="198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</row>
    <row r="136" spans="3:19" x14ac:dyDescent="0.25">
      <c r="C136" s="198"/>
      <c r="D136" s="198"/>
      <c r="E136" s="198"/>
      <c r="F136" s="198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</row>
    <row r="137" spans="3:19" x14ac:dyDescent="0.25">
      <c r="C137" s="198"/>
      <c r="D137" s="198"/>
      <c r="E137" s="198"/>
      <c r="F137" s="198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</row>
    <row r="138" spans="3:19" x14ac:dyDescent="0.25">
      <c r="C138" s="198"/>
      <c r="D138" s="198"/>
      <c r="E138" s="198"/>
      <c r="F138" s="198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</row>
    <row r="139" spans="3:19" x14ac:dyDescent="0.25">
      <c r="C139" s="198"/>
      <c r="D139" s="198"/>
      <c r="E139" s="198"/>
      <c r="F139" s="198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</row>
    <row r="140" spans="3:19" x14ac:dyDescent="0.25">
      <c r="C140" s="198"/>
      <c r="D140" s="198"/>
      <c r="E140" s="198"/>
      <c r="F140" s="198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</row>
    <row r="141" spans="3:19" x14ac:dyDescent="0.25">
      <c r="C141" s="198"/>
      <c r="D141" s="198"/>
      <c r="E141" s="198"/>
      <c r="F141" s="198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</row>
    <row r="142" spans="3:19" x14ac:dyDescent="0.25">
      <c r="C142" s="198"/>
      <c r="D142" s="198"/>
      <c r="E142" s="198"/>
      <c r="F142" s="198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</row>
    <row r="143" spans="3:19" x14ac:dyDescent="0.25">
      <c r="C143" s="198"/>
      <c r="D143" s="198"/>
      <c r="E143" s="198"/>
      <c r="F143" s="198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</row>
    <row r="144" spans="3:19" x14ac:dyDescent="0.25">
      <c r="C144" s="198"/>
      <c r="D144" s="198"/>
      <c r="E144" s="198"/>
      <c r="F144" s="198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</row>
    <row r="145" spans="3:19" x14ac:dyDescent="0.25">
      <c r="C145" s="198"/>
      <c r="D145" s="198"/>
      <c r="E145" s="198"/>
      <c r="F145" s="198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</row>
    <row r="146" spans="3:19" x14ac:dyDescent="0.25"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</row>
    <row r="147" spans="3:19" x14ac:dyDescent="0.25">
      <c r="C147" s="198"/>
      <c r="D147" s="198"/>
      <c r="E147" s="198"/>
      <c r="F147" s="198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</row>
    <row r="148" spans="3:19" x14ac:dyDescent="0.25"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</row>
    <row r="149" spans="3:19" x14ac:dyDescent="0.25">
      <c r="C149" s="198"/>
      <c r="D149" s="198"/>
      <c r="E149" s="198"/>
      <c r="F149" s="198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</row>
    <row r="150" spans="3:19" x14ac:dyDescent="0.25"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</row>
    <row r="151" spans="3:19" x14ac:dyDescent="0.25">
      <c r="C151" s="198"/>
      <c r="D151" s="198"/>
      <c r="E151" s="198"/>
      <c r="F151" s="198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</row>
    <row r="152" spans="3:19" x14ac:dyDescent="0.25">
      <c r="C152" s="198"/>
      <c r="D152" s="198"/>
      <c r="E152" s="198"/>
      <c r="F152" s="198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</row>
    <row r="153" spans="3:19" x14ac:dyDescent="0.25"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</row>
    <row r="154" spans="3:19" x14ac:dyDescent="0.25">
      <c r="C154" s="198"/>
      <c r="D154" s="198"/>
      <c r="E154" s="198"/>
      <c r="F154" s="198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</row>
    <row r="155" spans="3:19" x14ac:dyDescent="0.25">
      <c r="C155" s="198"/>
      <c r="D155" s="198"/>
      <c r="E155" s="198"/>
      <c r="F155" s="198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</row>
    <row r="156" spans="3:19" x14ac:dyDescent="0.25">
      <c r="C156" s="198"/>
      <c r="D156" s="198"/>
      <c r="E156" s="198"/>
      <c r="F156" s="198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</row>
    <row r="157" spans="3:19" x14ac:dyDescent="0.25"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</row>
    <row r="158" spans="3:19" x14ac:dyDescent="0.25"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</row>
    <row r="159" spans="3:19" x14ac:dyDescent="0.25">
      <c r="C159" s="198"/>
      <c r="D159" s="198"/>
      <c r="E159" s="198"/>
      <c r="F159" s="198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</row>
    <row r="160" spans="3:19" x14ac:dyDescent="0.25"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</row>
    <row r="161" spans="3:19" x14ac:dyDescent="0.25">
      <c r="C161" s="198"/>
      <c r="D161" s="198"/>
      <c r="E161" s="198"/>
      <c r="F161" s="198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</row>
    <row r="162" spans="3:19" x14ac:dyDescent="0.25"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</row>
    <row r="163" spans="3:19" x14ac:dyDescent="0.25">
      <c r="C163" s="198"/>
      <c r="D163" s="198"/>
      <c r="E163" s="198"/>
      <c r="F163" s="198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</row>
    <row r="164" spans="3:19" x14ac:dyDescent="0.25"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</row>
    <row r="165" spans="3:19" x14ac:dyDescent="0.25">
      <c r="C165" s="198"/>
      <c r="D165" s="198"/>
      <c r="E165" s="198"/>
      <c r="F165" s="198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</row>
    <row r="166" spans="3:19" x14ac:dyDescent="0.25">
      <c r="C166" s="198"/>
      <c r="D166" s="198"/>
      <c r="E166" s="198"/>
      <c r="F166" s="198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</row>
    <row r="167" spans="3:19" x14ac:dyDescent="0.25"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</row>
    <row r="168" spans="3:19" x14ac:dyDescent="0.25">
      <c r="C168" s="198"/>
      <c r="D168" s="198"/>
      <c r="E168" s="198"/>
      <c r="F168" s="198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</row>
    <row r="169" spans="3:19" x14ac:dyDescent="0.25"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</row>
    <row r="170" spans="3:19" x14ac:dyDescent="0.25"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</row>
    <row r="171" spans="3:19" x14ac:dyDescent="0.25">
      <c r="C171" s="198"/>
      <c r="D171" s="198"/>
      <c r="E171" s="198"/>
      <c r="F171" s="198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</row>
    <row r="172" spans="3:19" x14ac:dyDescent="0.25">
      <c r="C172" s="198"/>
      <c r="D172" s="198"/>
      <c r="E172" s="198"/>
      <c r="F172" s="198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</row>
    <row r="173" spans="3:19" x14ac:dyDescent="0.25"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</row>
    <row r="174" spans="3:19" x14ac:dyDescent="0.25">
      <c r="C174" s="198"/>
      <c r="D174" s="198"/>
      <c r="E174" s="198"/>
      <c r="F174" s="198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</row>
    <row r="175" spans="3:19" x14ac:dyDescent="0.25">
      <c r="C175" s="198"/>
      <c r="D175" s="198"/>
      <c r="E175" s="198"/>
      <c r="F175" s="198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</row>
    <row r="176" spans="3:19" x14ac:dyDescent="0.25">
      <c r="C176" s="198"/>
      <c r="D176" s="198"/>
      <c r="E176" s="198"/>
      <c r="F176" s="198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</row>
    <row r="177" spans="3:19" x14ac:dyDescent="0.25">
      <c r="C177" s="198"/>
      <c r="D177" s="198"/>
      <c r="E177" s="198"/>
      <c r="F177" s="198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</row>
    <row r="178" spans="3:19" x14ac:dyDescent="0.25">
      <c r="C178" s="198"/>
      <c r="D178" s="198"/>
      <c r="E178" s="198"/>
      <c r="F178" s="198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</row>
    <row r="179" spans="3:19" x14ac:dyDescent="0.25">
      <c r="C179" s="198"/>
      <c r="D179" s="198"/>
      <c r="E179" s="198"/>
      <c r="F179" s="198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</row>
    <row r="180" spans="3:19" x14ac:dyDescent="0.25">
      <c r="C180" s="198"/>
      <c r="D180" s="198"/>
      <c r="E180" s="198"/>
      <c r="F180" s="198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</row>
    <row r="181" spans="3:19" x14ac:dyDescent="0.25">
      <c r="C181" s="198"/>
      <c r="D181" s="198"/>
      <c r="E181" s="198"/>
      <c r="F181" s="198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</row>
    <row r="182" spans="3:19" x14ac:dyDescent="0.25">
      <c r="C182" s="198"/>
      <c r="D182" s="198"/>
      <c r="E182" s="198"/>
      <c r="F182" s="198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</row>
    <row r="183" spans="3:19" x14ac:dyDescent="0.25">
      <c r="C183" s="198"/>
      <c r="D183" s="198"/>
      <c r="E183" s="198"/>
      <c r="F183" s="198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</row>
    <row r="184" spans="3:19" x14ac:dyDescent="0.25"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</row>
    <row r="185" spans="3:19" x14ac:dyDescent="0.25">
      <c r="C185" s="198"/>
      <c r="D185" s="198"/>
      <c r="E185" s="198"/>
      <c r="F185" s="198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</row>
    <row r="186" spans="3:19" x14ac:dyDescent="0.25">
      <c r="C186" s="198"/>
      <c r="D186" s="198"/>
      <c r="E186" s="198"/>
      <c r="F186" s="198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</row>
    <row r="187" spans="3:19" x14ac:dyDescent="0.25">
      <c r="C187" s="198"/>
      <c r="D187" s="198"/>
      <c r="E187" s="198"/>
      <c r="F187" s="198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</row>
    <row r="188" spans="3:19" x14ac:dyDescent="0.25"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</row>
    <row r="189" spans="3:19" x14ac:dyDescent="0.25">
      <c r="C189" s="198"/>
      <c r="D189" s="198"/>
      <c r="E189" s="198"/>
      <c r="F189" s="198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</row>
    <row r="190" spans="3:19" x14ac:dyDescent="0.25">
      <c r="C190" s="198"/>
      <c r="D190" s="198"/>
      <c r="E190" s="198"/>
      <c r="F190" s="198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</row>
    <row r="191" spans="3:19" x14ac:dyDescent="0.25"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</row>
    <row r="192" spans="3:19" x14ac:dyDescent="0.25">
      <c r="C192" s="198"/>
      <c r="D192" s="198"/>
      <c r="E192" s="198"/>
      <c r="F192" s="198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</row>
    <row r="193" spans="3:19" x14ac:dyDescent="0.25"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</row>
    <row r="194" spans="3:19" x14ac:dyDescent="0.25">
      <c r="C194" s="198"/>
      <c r="D194" s="198"/>
      <c r="E194" s="198"/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</row>
    <row r="195" spans="3:19" x14ac:dyDescent="0.25"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</row>
    <row r="196" spans="3:19" x14ac:dyDescent="0.25">
      <c r="C196" s="198"/>
      <c r="D196" s="198"/>
      <c r="E196" s="198"/>
      <c r="F196" s="198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</row>
    <row r="197" spans="3:19" x14ac:dyDescent="0.25">
      <c r="C197" s="198"/>
      <c r="D197" s="198"/>
      <c r="E197" s="198"/>
      <c r="F197" s="198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</row>
    <row r="198" spans="3:19" x14ac:dyDescent="0.25"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</row>
    <row r="199" spans="3:19" x14ac:dyDescent="0.25">
      <c r="C199" s="198"/>
      <c r="D199" s="198"/>
      <c r="E199" s="198"/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</row>
    <row r="200" spans="3:19" x14ac:dyDescent="0.25"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</row>
    <row r="201" spans="3:19" x14ac:dyDescent="0.25">
      <c r="C201" s="198"/>
      <c r="D201" s="198"/>
      <c r="E201" s="198"/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</row>
    <row r="202" spans="3:19" x14ac:dyDescent="0.25"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</row>
    <row r="203" spans="3:19" x14ac:dyDescent="0.25">
      <c r="C203" s="198"/>
      <c r="D203" s="198"/>
      <c r="E203" s="198"/>
      <c r="F203" s="198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</row>
    <row r="204" spans="3:19" x14ac:dyDescent="0.25"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</row>
    <row r="205" spans="3:19" x14ac:dyDescent="0.25">
      <c r="C205" s="198"/>
      <c r="D205" s="198"/>
      <c r="E205" s="198"/>
      <c r="F205" s="198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</row>
    <row r="206" spans="3:19" x14ac:dyDescent="0.25">
      <c r="C206" s="198"/>
      <c r="D206" s="198"/>
      <c r="E206" s="198"/>
      <c r="F206" s="198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</row>
    <row r="207" spans="3:19" x14ac:dyDescent="0.25">
      <c r="C207" s="198"/>
      <c r="D207" s="198"/>
      <c r="E207" s="198"/>
      <c r="F207" s="198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</row>
    <row r="208" spans="3:19" x14ac:dyDescent="0.25">
      <c r="C208" s="198"/>
      <c r="D208" s="198"/>
      <c r="E208" s="198"/>
      <c r="F208" s="198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</row>
    <row r="209" spans="3:19" x14ac:dyDescent="0.25">
      <c r="C209" s="198"/>
      <c r="D209" s="198"/>
      <c r="E209" s="198"/>
      <c r="F209" s="198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</row>
    <row r="210" spans="3:19" x14ac:dyDescent="0.25">
      <c r="C210" s="198"/>
      <c r="D210" s="198"/>
      <c r="E210" s="198"/>
      <c r="F210" s="198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</row>
    <row r="211" spans="3:19" x14ac:dyDescent="0.25">
      <c r="C211" s="198"/>
      <c r="D211" s="198"/>
      <c r="E211" s="198"/>
      <c r="F211" s="198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</row>
    <row r="212" spans="3:19" x14ac:dyDescent="0.25">
      <c r="C212" s="198"/>
      <c r="D212" s="198"/>
      <c r="E212" s="198"/>
      <c r="F212" s="198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</row>
    <row r="213" spans="3:19" x14ac:dyDescent="0.25">
      <c r="C213" s="198"/>
      <c r="D213" s="198"/>
      <c r="E213" s="198"/>
      <c r="F213" s="198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</row>
    <row r="214" spans="3:19" x14ac:dyDescent="0.25">
      <c r="C214" s="198"/>
      <c r="D214" s="198"/>
      <c r="E214" s="198"/>
      <c r="F214" s="198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</row>
    <row r="215" spans="3:19" x14ac:dyDescent="0.25">
      <c r="C215" s="198"/>
      <c r="D215" s="198"/>
      <c r="E215" s="198"/>
      <c r="F215" s="198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</row>
    <row r="216" spans="3:19" x14ac:dyDescent="0.25"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</row>
    <row r="217" spans="3:19" x14ac:dyDescent="0.25"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</row>
    <row r="218" spans="3:19" x14ac:dyDescent="0.25">
      <c r="C218" s="198"/>
      <c r="D218" s="198"/>
      <c r="E218" s="198"/>
      <c r="F218" s="198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</row>
    <row r="219" spans="3:19" x14ac:dyDescent="0.25">
      <c r="C219" s="198"/>
      <c r="D219" s="198"/>
      <c r="E219" s="198"/>
      <c r="F219" s="198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</row>
    <row r="220" spans="3:19" x14ac:dyDescent="0.25">
      <c r="C220" s="198"/>
      <c r="D220" s="198"/>
      <c r="E220" s="198"/>
      <c r="F220" s="198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</row>
    <row r="221" spans="3:19" x14ac:dyDescent="0.25">
      <c r="C221" s="198"/>
      <c r="D221" s="198"/>
      <c r="E221" s="198"/>
      <c r="F221" s="198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</row>
    <row r="222" spans="3:19" x14ac:dyDescent="0.25">
      <c r="C222" s="198"/>
      <c r="D222" s="198"/>
      <c r="E222" s="198"/>
      <c r="F222" s="198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</row>
    <row r="223" spans="3:19" x14ac:dyDescent="0.25"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</row>
    <row r="224" spans="3:19" x14ac:dyDescent="0.25">
      <c r="C224" s="198"/>
      <c r="D224" s="198"/>
      <c r="E224" s="198"/>
      <c r="F224" s="198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</row>
    <row r="225" spans="3:19" x14ac:dyDescent="0.25"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</row>
    <row r="226" spans="3:19" x14ac:dyDescent="0.25">
      <c r="C226" s="198"/>
      <c r="D226" s="198"/>
      <c r="E226" s="198"/>
      <c r="F226" s="198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</row>
    <row r="227" spans="3:19" x14ac:dyDescent="0.25">
      <c r="C227" s="198"/>
      <c r="D227" s="198"/>
      <c r="E227" s="198"/>
      <c r="F227" s="198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</row>
    <row r="228" spans="3:19" x14ac:dyDescent="0.25">
      <c r="C228" s="198"/>
      <c r="D228" s="198"/>
      <c r="E228" s="198"/>
      <c r="F228" s="198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</row>
    <row r="229" spans="3:19" x14ac:dyDescent="0.25">
      <c r="C229" s="198"/>
      <c r="D229" s="198"/>
      <c r="E229" s="198"/>
      <c r="F229" s="198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</row>
    <row r="230" spans="3:19" x14ac:dyDescent="0.25"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</row>
    <row r="231" spans="3:19" x14ac:dyDescent="0.25"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</row>
    <row r="232" spans="3:19" x14ac:dyDescent="0.25">
      <c r="C232" s="198"/>
      <c r="D232" s="198"/>
      <c r="E232" s="198"/>
      <c r="F232" s="198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</row>
    <row r="233" spans="3:19" x14ac:dyDescent="0.25">
      <c r="C233" s="198"/>
      <c r="D233" s="198"/>
      <c r="E233" s="198"/>
      <c r="F233" s="198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</row>
    <row r="234" spans="3:19" x14ac:dyDescent="0.25"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</row>
    <row r="235" spans="3:19" x14ac:dyDescent="0.25">
      <c r="C235" s="198"/>
      <c r="D235" s="198"/>
      <c r="E235" s="198"/>
      <c r="F235" s="198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</row>
    <row r="236" spans="3:19" x14ac:dyDescent="0.25">
      <c r="C236" s="198"/>
      <c r="D236" s="198"/>
      <c r="E236" s="198"/>
      <c r="F236" s="198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</row>
    <row r="237" spans="3:19" x14ac:dyDescent="0.25"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</row>
    <row r="238" spans="3:19" x14ac:dyDescent="0.25">
      <c r="C238" s="198"/>
      <c r="D238" s="198"/>
      <c r="E238" s="198"/>
      <c r="F238" s="198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</row>
    <row r="239" spans="3:19" x14ac:dyDescent="0.25">
      <c r="C239" s="198"/>
      <c r="D239" s="198"/>
      <c r="E239" s="198"/>
      <c r="F239" s="198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</row>
    <row r="240" spans="3:19" x14ac:dyDescent="0.25">
      <c r="C240" s="198"/>
      <c r="D240" s="198"/>
      <c r="E240" s="198"/>
      <c r="F240" s="198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</row>
    <row r="241" spans="3:19" x14ac:dyDescent="0.25">
      <c r="C241" s="198"/>
      <c r="D241" s="198"/>
      <c r="E241" s="198"/>
      <c r="F241" s="198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</row>
    <row r="242" spans="3:19" x14ac:dyDescent="0.25"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</row>
    <row r="243" spans="3:19" x14ac:dyDescent="0.25"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</row>
    <row r="244" spans="3:19" x14ac:dyDescent="0.25">
      <c r="C244" s="198"/>
      <c r="D244" s="198"/>
      <c r="E244" s="198"/>
      <c r="F244" s="198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</row>
    <row r="245" spans="3:19" x14ac:dyDescent="0.25"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</row>
    <row r="246" spans="3:19" x14ac:dyDescent="0.25">
      <c r="C246" s="198"/>
      <c r="D246" s="198"/>
      <c r="E246" s="198"/>
      <c r="F246" s="198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</row>
    <row r="247" spans="3:19" x14ac:dyDescent="0.25"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</row>
    <row r="248" spans="3:19" x14ac:dyDescent="0.25">
      <c r="C248" s="198"/>
      <c r="D248" s="198"/>
      <c r="E248" s="198"/>
      <c r="F248" s="198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</row>
    <row r="249" spans="3:19" x14ac:dyDescent="0.25">
      <c r="C249" s="198"/>
      <c r="D249" s="198"/>
      <c r="E249" s="198"/>
      <c r="F249" s="198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</row>
    <row r="250" spans="3:19" x14ac:dyDescent="0.25">
      <c r="C250" s="198"/>
      <c r="D250" s="198"/>
      <c r="E250" s="198"/>
      <c r="F250" s="198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</row>
    <row r="251" spans="3:19" x14ac:dyDescent="0.25">
      <c r="C251" s="198"/>
      <c r="D251" s="198"/>
      <c r="E251" s="198"/>
      <c r="F251" s="198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</row>
    <row r="252" spans="3:19" x14ac:dyDescent="0.25">
      <c r="C252" s="198"/>
      <c r="D252" s="198"/>
      <c r="E252" s="198"/>
      <c r="F252" s="198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</row>
    <row r="253" spans="3:19" x14ac:dyDescent="0.25">
      <c r="C253" s="198"/>
      <c r="D253" s="198"/>
      <c r="E253" s="198"/>
      <c r="F253" s="198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</row>
    <row r="254" spans="3:19" x14ac:dyDescent="0.25">
      <c r="C254" s="198"/>
      <c r="D254" s="198"/>
      <c r="E254" s="198"/>
      <c r="F254" s="198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</row>
    <row r="255" spans="3:19" x14ac:dyDescent="0.25"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</row>
    <row r="256" spans="3:19" x14ac:dyDescent="0.25">
      <c r="C256" s="198"/>
      <c r="D256" s="198"/>
      <c r="E256" s="198"/>
      <c r="F256" s="198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</row>
    <row r="257" spans="3:19" x14ac:dyDescent="0.25">
      <c r="C257" s="198"/>
      <c r="D257" s="198"/>
      <c r="E257" s="198"/>
      <c r="F257" s="198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</row>
    <row r="258" spans="3:19" x14ac:dyDescent="0.25">
      <c r="C258" s="198"/>
      <c r="D258" s="198"/>
      <c r="E258" s="198"/>
      <c r="F258" s="198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</row>
    <row r="259" spans="3:19" x14ac:dyDescent="0.25">
      <c r="C259" s="198"/>
      <c r="D259" s="198"/>
      <c r="E259" s="198"/>
      <c r="F259" s="198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</row>
    <row r="260" spans="3:19" x14ac:dyDescent="0.25"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</row>
    <row r="261" spans="3:19" x14ac:dyDescent="0.25">
      <c r="C261" s="198"/>
      <c r="D261" s="198"/>
      <c r="E261" s="198"/>
      <c r="F261" s="198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</row>
    <row r="262" spans="3:19" x14ac:dyDescent="0.25"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</row>
    <row r="263" spans="3:19" x14ac:dyDescent="0.25">
      <c r="C263" s="198"/>
      <c r="D263" s="198"/>
      <c r="E263" s="198"/>
      <c r="F263" s="198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</row>
    <row r="264" spans="3:19" x14ac:dyDescent="0.25">
      <c r="C264" s="198"/>
      <c r="D264" s="198"/>
      <c r="E264" s="198"/>
      <c r="F264" s="198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</row>
    <row r="265" spans="3:19" x14ac:dyDescent="0.25">
      <c r="C265" s="198"/>
      <c r="D265" s="198"/>
      <c r="E265" s="198"/>
      <c r="F265" s="198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</row>
    <row r="266" spans="3:19" x14ac:dyDescent="0.25">
      <c r="C266" s="198"/>
      <c r="D266" s="198"/>
      <c r="E266" s="198"/>
      <c r="F266" s="198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</row>
    <row r="267" spans="3:19" x14ac:dyDescent="0.25">
      <c r="C267" s="198"/>
      <c r="D267" s="198"/>
      <c r="E267" s="198"/>
      <c r="F267" s="198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</row>
    <row r="268" spans="3:19" x14ac:dyDescent="0.25">
      <c r="C268" s="198"/>
      <c r="D268" s="198"/>
      <c r="E268" s="198"/>
      <c r="F268" s="198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</row>
    <row r="269" spans="3:19" x14ac:dyDescent="0.25">
      <c r="C269" s="198"/>
      <c r="D269" s="198"/>
      <c r="E269" s="198"/>
      <c r="F269" s="198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</row>
    <row r="270" spans="3:19" x14ac:dyDescent="0.25">
      <c r="C270" s="198"/>
      <c r="D270" s="198"/>
      <c r="E270" s="198"/>
      <c r="F270" s="198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</row>
    <row r="271" spans="3:19" x14ac:dyDescent="0.25">
      <c r="C271" s="198"/>
      <c r="D271" s="198"/>
      <c r="E271" s="198"/>
      <c r="F271" s="198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</row>
    <row r="272" spans="3:19" x14ac:dyDescent="0.25">
      <c r="C272" s="198"/>
      <c r="D272" s="198"/>
      <c r="E272" s="198"/>
      <c r="F272" s="198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</row>
    <row r="273" spans="3:19" x14ac:dyDescent="0.25"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</row>
    <row r="274" spans="3:19" x14ac:dyDescent="0.25">
      <c r="C274" s="198"/>
      <c r="D274" s="198"/>
      <c r="E274" s="198"/>
      <c r="F274" s="198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</row>
    <row r="275" spans="3:19" x14ac:dyDescent="0.25">
      <c r="C275" s="198"/>
      <c r="D275" s="198"/>
      <c r="E275" s="198"/>
      <c r="F275" s="198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</row>
    <row r="276" spans="3:19" x14ac:dyDescent="0.25">
      <c r="C276" s="198"/>
      <c r="D276" s="198"/>
      <c r="E276" s="198"/>
      <c r="F276" s="198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</row>
    <row r="277" spans="3:19" x14ac:dyDescent="0.25"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</row>
    <row r="278" spans="3:19" x14ac:dyDescent="0.25">
      <c r="C278" s="198"/>
      <c r="D278" s="198"/>
      <c r="E278" s="198"/>
      <c r="F278" s="198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</row>
    <row r="279" spans="3:19" x14ac:dyDescent="0.25">
      <c r="C279" s="198"/>
      <c r="D279" s="198"/>
      <c r="E279" s="198"/>
      <c r="F279" s="198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</row>
    <row r="280" spans="3:19" x14ac:dyDescent="0.25">
      <c r="C280" s="198"/>
      <c r="D280" s="198"/>
      <c r="E280" s="198"/>
      <c r="F280" s="198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</row>
    <row r="281" spans="3:19" x14ac:dyDescent="0.25">
      <c r="C281" s="198"/>
      <c r="D281" s="198"/>
      <c r="E281" s="198"/>
      <c r="F281" s="198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</row>
    <row r="282" spans="3:19" x14ac:dyDescent="0.25">
      <c r="C282" s="198"/>
      <c r="D282" s="198"/>
      <c r="E282" s="198"/>
      <c r="F282" s="198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</row>
    <row r="283" spans="3:19" x14ac:dyDescent="0.25">
      <c r="C283" s="198"/>
      <c r="D283" s="198"/>
      <c r="E283" s="198"/>
      <c r="F283" s="198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</row>
    <row r="284" spans="3:19" x14ac:dyDescent="0.25">
      <c r="C284" s="198"/>
      <c r="D284" s="198"/>
      <c r="E284" s="198"/>
      <c r="F284" s="198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</row>
    <row r="285" spans="3:19" x14ac:dyDescent="0.25">
      <c r="C285" s="198"/>
      <c r="D285" s="198"/>
      <c r="E285" s="198"/>
      <c r="F285" s="198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</row>
    <row r="286" spans="3:19" x14ac:dyDescent="0.25">
      <c r="C286" s="198"/>
      <c r="D286" s="198"/>
      <c r="E286" s="198"/>
      <c r="F286" s="198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</row>
    <row r="287" spans="3:19" x14ac:dyDescent="0.25">
      <c r="C287" s="198"/>
      <c r="D287" s="198"/>
      <c r="E287" s="198"/>
      <c r="F287" s="198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</row>
    <row r="288" spans="3:19" x14ac:dyDescent="0.25">
      <c r="C288" s="198"/>
      <c r="D288" s="198"/>
      <c r="E288" s="198"/>
      <c r="F288" s="198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</row>
    <row r="289" spans="3:19" x14ac:dyDescent="0.25">
      <c r="C289" s="198"/>
      <c r="D289" s="198"/>
      <c r="E289" s="198"/>
      <c r="F289" s="198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</row>
    <row r="290" spans="3:19" x14ac:dyDescent="0.25">
      <c r="C290" s="198"/>
      <c r="D290" s="198"/>
      <c r="E290" s="198"/>
      <c r="F290" s="198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</row>
    <row r="291" spans="3:19" x14ac:dyDescent="0.25">
      <c r="C291" s="198"/>
      <c r="D291" s="198"/>
      <c r="E291" s="198"/>
      <c r="F291" s="198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</row>
    <row r="292" spans="3:19" x14ac:dyDescent="0.25">
      <c r="C292" s="198"/>
      <c r="D292" s="198"/>
      <c r="E292" s="198"/>
      <c r="F292" s="198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</row>
    <row r="293" spans="3:19" x14ac:dyDescent="0.25">
      <c r="C293" s="198"/>
      <c r="D293" s="198"/>
      <c r="E293" s="198"/>
      <c r="F293" s="198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</row>
    <row r="294" spans="3:19" x14ac:dyDescent="0.25">
      <c r="C294" s="198"/>
      <c r="D294" s="198"/>
      <c r="E294" s="198"/>
      <c r="F294" s="198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</row>
    <row r="295" spans="3:19" x14ac:dyDescent="0.25">
      <c r="C295" s="198"/>
      <c r="D295" s="198"/>
      <c r="E295" s="198"/>
      <c r="F295" s="198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</row>
    <row r="296" spans="3:19" x14ac:dyDescent="0.25">
      <c r="C296" s="198"/>
      <c r="D296" s="198"/>
      <c r="E296" s="198"/>
      <c r="F296" s="198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</row>
    <row r="297" spans="3:19" x14ac:dyDescent="0.25">
      <c r="C297" s="198"/>
      <c r="D297" s="198"/>
      <c r="E297" s="198"/>
      <c r="F297" s="198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</row>
    <row r="298" spans="3:19" x14ac:dyDescent="0.25">
      <c r="C298" s="198"/>
      <c r="D298" s="198"/>
      <c r="E298" s="198"/>
      <c r="F298" s="198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</row>
    <row r="299" spans="3:19" x14ac:dyDescent="0.25">
      <c r="C299" s="198"/>
      <c r="D299" s="198"/>
      <c r="E299" s="198"/>
      <c r="F299" s="198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</row>
    <row r="300" spans="3:19" x14ac:dyDescent="0.25">
      <c r="C300" s="198"/>
      <c r="D300" s="198"/>
      <c r="E300" s="198"/>
      <c r="F300" s="198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</row>
    <row r="301" spans="3:19" x14ac:dyDescent="0.25">
      <c r="C301" s="198"/>
      <c r="D301" s="198"/>
      <c r="E301" s="198"/>
      <c r="F301" s="198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</row>
    <row r="302" spans="3:19" x14ac:dyDescent="0.25">
      <c r="C302" s="198"/>
      <c r="D302" s="198"/>
      <c r="E302" s="198"/>
      <c r="F302" s="198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</row>
    <row r="303" spans="3:19" x14ac:dyDescent="0.25">
      <c r="C303" s="198"/>
      <c r="D303" s="198"/>
      <c r="E303" s="198"/>
      <c r="F303" s="198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</row>
    <row r="304" spans="3:19" x14ac:dyDescent="0.25">
      <c r="C304" s="198"/>
      <c r="D304" s="198"/>
      <c r="E304" s="198"/>
      <c r="F304" s="198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</row>
    <row r="305" spans="3:19" x14ac:dyDescent="0.25">
      <c r="C305" s="198"/>
      <c r="D305" s="198"/>
      <c r="E305" s="198"/>
      <c r="F305" s="198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</row>
    <row r="306" spans="3:19" x14ac:dyDescent="0.25">
      <c r="C306" s="198"/>
      <c r="D306" s="198"/>
      <c r="E306" s="198"/>
      <c r="F306" s="198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</row>
    <row r="307" spans="3:19" x14ac:dyDescent="0.25">
      <c r="C307" s="198"/>
      <c r="D307" s="198"/>
      <c r="E307" s="198"/>
      <c r="F307" s="198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</row>
    <row r="308" spans="3:19" x14ac:dyDescent="0.25">
      <c r="C308" s="198"/>
      <c r="D308" s="198"/>
      <c r="E308" s="198"/>
      <c r="F308" s="198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</row>
    <row r="309" spans="3:19" x14ac:dyDescent="0.25">
      <c r="C309" s="198"/>
      <c r="D309" s="198"/>
      <c r="E309" s="198"/>
      <c r="F309" s="198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</row>
    <row r="310" spans="3:19" x14ac:dyDescent="0.25">
      <c r="C310" s="198"/>
      <c r="D310" s="198"/>
      <c r="E310" s="198"/>
      <c r="F310" s="198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</row>
    <row r="311" spans="3:19" x14ac:dyDescent="0.25">
      <c r="C311" s="198"/>
      <c r="D311" s="198"/>
      <c r="E311" s="198"/>
      <c r="F311" s="198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</row>
    <row r="312" spans="3:19" x14ac:dyDescent="0.25">
      <c r="C312" s="198"/>
      <c r="D312" s="198"/>
      <c r="E312" s="198"/>
      <c r="F312" s="198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</row>
    <row r="313" spans="3:19" x14ac:dyDescent="0.25">
      <c r="C313" s="198"/>
      <c r="D313" s="198"/>
      <c r="E313" s="198"/>
      <c r="F313" s="198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</row>
    <row r="314" spans="3:19" x14ac:dyDescent="0.25">
      <c r="C314" s="198"/>
      <c r="D314" s="198"/>
      <c r="E314" s="198"/>
      <c r="F314" s="198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</row>
    <row r="315" spans="3:19" x14ac:dyDescent="0.25">
      <c r="C315" s="198"/>
      <c r="D315" s="198"/>
      <c r="E315" s="198"/>
      <c r="F315" s="198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</row>
    <row r="316" spans="3:19" x14ac:dyDescent="0.25">
      <c r="C316" s="198"/>
      <c r="D316" s="198"/>
      <c r="E316" s="198"/>
      <c r="F316" s="198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</row>
    <row r="317" spans="3:19" x14ac:dyDescent="0.25">
      <c r="C317" s="198"/>
      <c r="D317" s="198"/>
      <c r="E317" s="198"/>
      <c r="F317" s="198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</row>
    <row r="318" spans="3:19" x14ac:dyDescent="0.25">
      <c r="C318" s="198"/>
      <c r="D318" s="198"/>
      <c r="E318" s="198"/>
      <c r="F318" s="198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</row>
    <row r="319" spans="3:19" x14ac:dyDescent="0.25">
      <c r="C319" s="198"/>
      <c r="D319" s="198"/>
      <c r="E319" s="198"/>
      <c r="F319" s="198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</row>
    <row r="320" spans="3:19" x14ac:dyDescent="0.25">
      <c r="C320" s="198"/>
      <c r="D320" s="198"/>
      <c r="E320" s="198"/>
      <c r="F320" s="198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</row>
    <row r="321" spans="3:19" x14ac:dyDescent="0.25">
      <c r="C321" s="198"/>
      <c r="D321" s="198"/>
      <c r="E321" s="198"/>
      <c r="F321" s="198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</row>
    <row r="322" spans="3:19" x14ac:dyDescent="0.25">
      <c r="C322" s="198"/>
      <c r="D322" s="198"/>
      <c r="E322" s="198"/>
      <c r="F322" s="198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</row>
    <row r="323" spans="3:19" x14ac:dyDescent="0.25">
      <c r="C323" s="198"/>
      <c r="D323" s="198"/>
      <c r="E323" s="198"/>
      <c r="F323" s="198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</row>
    <row r="324" spans="3:19" x14ac:dyDescent="0.25">
      <c r="C324" s="198"/>
      <c r="D324" s="198"/>
      <c r="E324" s="198"/>
      <c r="F324" s="198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</row>
    <row r="325" spans="3:19" x14ac:dyDescent="0.25">
      <c r="C325" s="198"/>
      <c r="D325" s="198"/>
      <c r="E325" s="198"/>
      <c r="F325" s="198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</row>
    <row r="326" spans="3:19" x14ac:dyDescent="0.25">
      <c r="C326" s="198"/>
      <c r="D326" s="198"/>
      <c r="E326" s="198"/>
      <c r="F326" s="198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</row>
    <row r="327" spans="3:19" x14ac:dyDescent="0.25">
      <c r="C327" s="198"/>
      <c r="D327" s="198"/>
      <c r="E327" s="198"/>
      <c r="F327" s="198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</row>
    <row r="328" spans="3:19" x14ac:dyDescent="0.25">
      <c r="C328" s="198"/>
      <c r="D328" s="198"/>
      <c r="E328" s="198"/>
      <c r="F328" s="198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</row>
    <row r="329" spans="3:19" x14ac:dyDescent="0.25">
      <c r="C329" s="198"/>
      <c r="D329" s="198"/>
      <c r="E329" s="198"/>
      <c r="F329" s="198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</row>
    <row r="330" spans="3:19" x14ac:dyDescent="0.25">
      <c r="C330" s="198"/>
      <c r="D330" s="198"/>
      <c r="E330" s="198"/>
      <c r="F330" s="198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</row>
    <row r="331" spans="3:19" x14ac:dyDescent="0.25">
      <c r="C331" s="198"/>
      <c r="D331" s="198"/>
      <c r="E331" s="198"/>
      <c r="F331" s="198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</row>
    <row r="332" spans="3:19" x14ac:dyDescent="0.25">
      <c r="C332" s="198"/>
      <c r="D332" s="198"/>
      <c r="E332" s="198"/>
      <c r="F332" s="198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</row>
    <row r="333" spans="3:19" x14ac:dyDescent="0.25">
      <c r="C333" s="198"/>
      <c r="D333" s="198"/>
      <c r="E333" s="198"/>
      <c r="F333" s="198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</row>
    <row r="334" spans="3:19" x14ac:dyDescent="0.25">
      <c r="C334" s="198"/>
      <c r="D334" s="198"/>
      <c r="E334" s="198"/>
      <c r="F334" s="198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</row>
    <row r="335" spans="3:19" x14ac:dyDescent="0.25">
      <c r="C335" s="198"/>
      <c r="D335" s="198"/>
      <c r="E335" s="198"/>
      <c r="F335" s="198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</row>
    <row r="336" spans="3:19" x14ac:dyDescent="0.25">
      <c r="C336" s="198"/>
      <c r="D336" s="198"/>
      <c r="E336" s="198"/>
      <c r="F336" s="198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</row>
    <row r="337" spans="3:19" x14ac:dyDescent="0.25">
      <c r="C337" s="198"/>
      <c r="D337" s="198"/>
      <c r="E337" s="198"/>
      <c r="F337" s="198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</row>
    <row r="338" spans="3:19" x14ac:dyDescent="0.25">
      <c r="C338" s="198"/>
      <c r="D338" s="198"/>
      <c r="E338" s="198"/>
      <c r="F338" s="198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</row>
    <row r="339" spans="3:19" x14ac:dyDescent="0.25">
      <c r="C339" s="198"/>
      <c r="D339" s="198"/>
      <c r="E339" s="198"/>
      <c r="F339" s="198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</row>
    <row r="340" spans="3:19" x14ac:dyDescent="0.25">
      <c r="C340" s="198"/>
      <c r="D340" s="198"/>
      <c r="E340" s="198"/>
      <c r="F340" s="198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</row>
    <row r="341" spans="3:19" x14ac:dyDescent="0.25">
      <c r="C341" s="198"/>
      <c r="D341" s="198"/>
      <c r="E341" s="198"/>
      <c r="F341" s="198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</row>
    <row r="342" spans="3:19" x14ac:dyDescent="0.25">
      <c r="C342" s="198"/>
      <c r="D342" s="198"/>
      <c r="E342" s="198"/>
      <c r="F342" s="198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</row>
    <row r="343" spans="3:19" x14ac:dyDescent="0.25">
      <c r="C343" s="198"/>
      <c r="D343" s="198"/>
      <c r="E343" s="198"/>
      <c r="F343" s="198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</row>
    <row r="344" spans="3:19" x14ac:dyDescent="0.25">
      <c r="C344" s="198"/>
      <c r="D344" s="198"/>
      <c r="E344" s="198"/>
      <c r="F344" s="198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</row>
    <row r="345" spans="3:19" x14ac:dyDescent="0.25">
      <c r="C345" s="198"/>
      <c r="D345" s="198"/>
      <c r="E345" s="198"/>
      <c r="F345" s="198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</row>
    <row r="346" spans="3:19" x14ac:dyDescent="0.25">
      <c r="C346" s="198"/>
      <c r="D346" s="198"/>
      <c r="E346" s="198"/>
      <c r="F346" s="198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</row>
    <row r="347" spans="3:19" x14ac:dyDescent="0.25">
      <c r="C347" s="198"/>
      <c r="D347" s="198"/>
      <c r="E347" s="198"/>
      <c r="F347" s="198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</row>
    <row r="348" spans="3:19" x14ac:dyDescent="0.25">
      <c r="C348" s="198"/>
      <c r="D348" s="198"/>
      <c r="E348" s="198"/>
      <c r="F348" s="198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</row>
    <row r="349" spans="3:19" x14ac:dyDescent="0.25">
      <c r="C349" s="198"/>
      <c r="D349" s="198"/>
      <c r="E349" s="198"/>
      <c r="F349" s="198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</row>
    <row r="350" spans="3:19" x14ac:dyDescent="0.25">
      <c r="C350" s="198"/>
      <c r="D350" s="198"/>
      <c r="E350" s="198"/>
      <c r="F350" s="198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</row>
    <row r="351" spans="3:19" x14ac:dyDescent="0.25">
      <c r="C351" s="198"/>
      <c r="D351" s="198"/>
      <c r="E351" s="198"/>
      <c r="F351" s="198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</row>
    <row r="352" spans="3:19" x14ac:dyDescent="0.25">
      <c r="C352" s="198"/>
      <c r="D352" s="198"/>
      <c r="E352" s="198"/>
      <c r="F352" s="198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</row>
    <row r="353" spans="3:19" x14ac:dyDescent="0.25">
      <c r="C353" s="198"/>
      <c r="D353" s="198"/>
      <c r="E353" s="198"/>
      <c r="F353" s="198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</row>
    <row r="354" spans="3:19" x14ac:dyDescent="0.25">
      <c r="C354" s="198"/>
      <c r="D354" s="198"/>
      <c r="E354" s="198"/>
      <c r="F354" s="198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</row>
    <row r="355" spans="3:19" x14ac:dyDescent="0.25">
      <c r="C355" s="198"/>
      <c r="D355" s="198"/>
      <c r="E355" s="198"/>
      <c r="F355" s="198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</row>
    <row r="356" spans="3:19" x14ac:dyDescent="0.25">
      <c r="C356" s="198"/>
      <c r="D356" s="198"/>
      <c r="E356" s="198"/>
      <c r="F356" s="198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</row>
    <row r="357" spans="3:19" x14ac:dyDescent="0.25">
      <c r="C357" s="198"/>
      <c r="D357" s="198"/>
      <c r="E357" s="198"/>
      <c r="F357" s="198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</row>
    <row r="358" spans="3:19" x14ac:dyDescent="0.25">
      <c r="C358" s="198"/>
      <c r="D358" s="198"/>
      <c r="E358" s="198"/>
      <c r="F358" s="198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</row>
    <row r="359" spans="3:19" x14ac:dyDescent="0.25">
      <c r="C359" s="198"/>
      <c r="D359" s="198"/>
      <c r="E359" s="198"/>
      <c r="F359" s="198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</row>
    <row r="360" spans="3:19" x14ac:dyDescent="0.25">
      <c r="C360" s="198"/>
      <c r="D360" s="198"/>
      <c r="E360" s="198"/>
      <c r="F360" s="198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</row>
    <row r="361" spans="3:19" x14ac:dyDescent="0.25">
      <c r="C361" s="198"/>
      <c r="D361" s="198"/>
      <c r="E361" s="198"/>
      <c r="F361" s="198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</row>
    <row r="362" spans="3:19" x14ac:dyDescent="0.25">
      <c r="C362" s="198"/>
      <c r="D362" s="198"/>
      <c r="E362" s="198"/>
      <c r="F362" s="198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</row>
    <row r="363" spans="3:19" x14ac:dyDescent="0.25">
      <c r="C363" s="198"/>
      <c r="D363" s="198"/>
      <c r="E363" s="198"/>
      <c r="F363" s="198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</row>
    <row r="364" spans="3:19" x14ac:dyDescent="0.25">
      <c r="C364" s="198"/>
      <c r="D364" s="198"/>
      <c r="E364" s="198"/>
      <c r="F364" s="198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</row>
    <row r="365" spans="3:19" x14ac:dyDescent="0.25">
      <c r="C365" s="198"/>
      <c r="D365" s="198"/>
      <c r="E365" s="198"/>
      <c r="F365" s="198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</row>
    <row r="366" spans="3:19" x14ac:dyDescent="0.25">
      <c r="C366" s="198"/>
      <c r="D366" s="198"/>
      <c r="E366" s="198"/>
      <c r="F366" s="198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</row>
    <row r="367" spans="3:19" x14ac:dyDescent="0.25">
      <c r="C367" s="198"/>
      <c r="D367" s="198"/>
      <c r="E367" s="198"/>
      <c r="F367" s="198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</row>
    <row r="368" spans="3:19" x14ac:dyDescent="0.25">
      <c r="C368" s="198"/>
      <c r="D368" s="198"/>
      <c r="E368" s="198"/>
      <c r="F368" s="198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</row>
    <row r="369" spans="3:19" x14ac:dyDescent="0.25">
      <c r="C369" s="198"/>
      <c r="D369" s="198"/>
      <c r="E369" s="198"/>
      <c r="F369" s="198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</row>
    <row r="370" spans="3:19" x14ac:dyDescent="0.25">
      <c r="C370" s="198"/>
      <c r="D370" s="198"/>
      <c r="E370" s="198"/>
      <c r="F370" s="198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</row>
    <row r="371" spans="3:19" x14ac:dyDescent="0.25">
      <c r="C371" s="198"/>
      <c r="D371" s="198"/>
      <c r="E371" s="198"/>
      <c r="F371" s="198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</row>
    <row r="372" spans="3:19" x14ac:dyDescent="0.25">
      <c r="C372" s="198"/>
      <c r="D372" s="198"/>
      <c r="E372" s="198"/>
      <c r="F372" s="198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</row>
    <row r="373" spans="3:19" x14ac:dyDescent="0.25">
      <c r="C373" s="198"/>
      <c r="D373" s="198"/>
      <c r="E373" s="198"/>
      <c r="F373" s="198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</row>
    <row r="374" spans="3:19" x14ac:dyDescent="0.25">
      <c r="C374" s="198"/>
      <c r="D374" s="198"/>
      <c r="E374" s="198"/>
      <c r="F374" s="198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</row>
    <row r="375" spans="3:19" x14ac:dyDescent="0.25">
      <c r="C375" s="198"/>
      <c r="D375" s="198"/>
      <c r="E375" s="198"/>
      <c r="F375" s="198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</row>
    <row r="376" spans="3:19" x14ac:dyDescent="0.25">
      <c r="C376" s="198"/>
      <c r="D376" s="198"/>
      <c r="E376" s="198"/>
      <c r="F376" s="198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</row>
    <row r="377" spans="3:19" x14ac:dyDescent="0.25">
      <c r="C377" s="198"/>
      <c r="D377" s="198"/>
      <c r="E377" s="198"/>
      <c r="F377" s="198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</row>
    <row r="378" spans="3:19" x14ac:dyDescent="0.25">
      <c r="C378" s="198"/>
      <c r="D378" s="198"/>
      <c r="E378" s="198"/>
      <c r="F378" s="198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</row>
    <row r="379" spans="3:19" x14ac:dyDescent="0.25">
      <c r="C379" s="198"/>
      <c r="D379" s="198"/>
      <c r="E379" s="198"/>
      <c r="F379" s="198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</row>
    <row r="380" spans="3:19" x14ac:dyDescent="0.25">
      <c r="C380" s="198"/>
      <c r="D380" s="198"/>
      <c r="E380" s="198"/>
      <c r="F380" s="198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</row>
    <row r="381" spans="3:19" x14ac:dyDescent="0.25">
      <c r="C381" s="198"/>
      <c r="D381" s="198"/>
      <c r="E381" s="198"/>
      <c r="F381" s="198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</row>
    <row r="382" spans="3:19" x14ac:dyDescent="0.25">
      <c r="C382" s="198"/>
      <c r="D382" s="198"/>
      <c r="E382" s="198"/>
      <c r="F382" s="198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</row>
    <row r="383" spans="3:19" x14ac:dyDescent="0.25">
      <c r="C383" s="198"/>
      <c r="D383" s="198"/>
      <c r="E383" s="198"/>
      <c r="F383" s="198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</row>
    <row r="384" spans="3:19" x14ac:dyDescent="0.25">
      <c r="C384" s="198"/>
      <c r="D384" s="198"/>
      <c r="E384" s="198"/>
      <c r="F384" s="198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</row>
    <row r="385" spans="3:19" x14ac:dyDescent="0.25">
      <c r="C385" s="198"/>
      <c r="D385" s="198"/>
      <c r="E385" s="198"/>
      <c r="F385" s="198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</row>
    <row r="386" spans="3:19" x14ac:dyDescent="0.25">
      <c r="C386" s="198"/>
      <c r="D386" s="198"/>
      <c r="E386" s="198"/>
      <c r="F386" s="198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</row>
    <row r="387" spans="3:19" x14ac:dyDescent="0.25">
      <c r="C387" s="198"/>
      <c r="D387" s="198"/>
      <c r="E387" s="198"/>
      <c r="F387" s="198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</row>
    <row r="388" spans="3:19" x14ac:dyDescent="0.25">
      <c r="C388" s="198"/>
      <c r="D388" s="198"/>
      <c r="E388" s="198"/>
      <c r="F388" s="198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</row>
    <row r="389" spans="3:19" x14ac:dyDescent="0.25">
      <c r="C389" s="198"/>
      <c r="D389" s="198"/>
      <c r="E389" s="198"/>
      <c r="F389" s="198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</row>
    <row r="390" spans="3:19" x14ac:dyDescent="0.25">
      <c r="C390" s="198"/>
      <c r="D390" s="198"/>
      <c r="E390" s="198"/>
      <c r="F390" s="198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</row>
    <row r="391" spans="3:19" x14ac:dyDescent="0.25">
      <c r="C391" s="198"/>
      <c r="D391" s="198"/>
      <c r="E391" s="198"/>
      <c r="F391" s="198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</row>
    <row r="392" spans="3:19" x14ac:dyDescent="0.25">
      <c r="C392" s="198"/>
      <c r="D392" s="198"/>
      <c r="E392" s="198"/>
      <c r="F392" s="198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</row>
    <row r="393" spans="3:19" x14ac:dyDescent="0.25">
      <c r="C393" s="198"/>
      <c r="D393" s="198"/>
      <c r="E393" s="198"/>
      <c r="F393" s="198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</row>
    <row r="394" spans="3:19" x14ac:dyDescent="0.25">
      <c r="C394" s="198"/>
      <c r="D394" s="198"/>
      <c r="E394" s="198"/>
      <c r="F394" s="198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</row>
    <row r="395" spans="3:19" x14ac:dyDescent="0.25">
      <c r="C395" s="198"/>
      <c r="D395" s="198"/>
      <c r="E395" s="198"/>
      <c r="F395" s="198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</row>
    <row r="396" spans="3:19" x14ac:dyDescent="0.25">
      <c r="C396" s="198"/>
      <c r="D396" s="198"/>
      <c r="E396" s="198"/>
      <c r="F396" s="198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</row>
    <row r="397" spans="3:19" x14ac:dyDescent="0.25">
      <c r="C397" s="198"/>
      <c r="D397" s="198"/>
      <c r="E397" s="198"/>
      <c r="F397" s="198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</row>
    <row r="398" spans="3:19" x14ac:dyDescent="0.25">
      <c r="C398" s="198"/>
      <c r="D398" s="198"/>
      <c r="E398" s="198"/>
      <c r="F398" s="198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</row>
    <row r="399" spans="3:19" x14ac:dyDescent="0.25">
      <c r="C399" s="198"/>
      <c r="D399" s="198"/>
      <c r="E399" s="198"/>
      <c r="F399" s="198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</row>
    <row r="400" spans="3:19" x14ac:dyDescent="0.25">
      <c r="C400" s="198"/>
      <c r="D400" s="198"/>
      <c r="E400" s="198"/>
      <c r="F400" s="198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</row>
    <row r="401" spans="3:19" x14ac:dyDescent="0.25">
      <c r="C401" s="198"/>
      <c r="D401" s="198"/>
      <c r="E401" s="198"/>
      <c r="F401" s="198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</row>
    <row r="402" spans="3:19" x14ac:dyDescent="0.25">
      <c r="C402" s="198"/>
      <c r="D402" s="198"/>
      <c r="E402" s="198"/>
      <c r="F402" s="198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</row>
    <row r="403" spans="3:19" x14ac:dyDescent="0.25">
      <c r="C403" s="198"/>
      <c r="D403" s="198"/>
      <c r="E403" s="198"/>
      <c r="F403" s="198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</row>
    <row r="404" spans="3:19" x14ac:dyDescent="0.25">
      <c r="C404" s="198"/>
      <c r="D404" s="198"/>
      <c r="E404" s="198"/>
      <c r="F404" s="198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</row>
    <row r="405" spans="3:19" x14ac:dyDescent="0.25">
      <c r="C405" s="198"/>
      <c r="D405" s="198"/>
      <c r="E405" s="198"/>
      <c r="F405" s="198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</row>
    <row r="406" spans="3:19" x14ac:dyDescent="0.25">
      <c r="C406" s="198"/>
      <c r="D406" s="198"/>
      <c r="E406" s="198"/>
      <c r="F406" s="198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</row>
    <row r="407" spans="3:19" x14ac:dyDescent="0.25">
      <c r="C407" s="198"/>
      <c r="D407" s="198"/>
      <c r="E407" s="198"/>
      <c r="F407" s="198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</row>
    <row r="408" spans="3:19" x14ac:dyDescent="0.25">
      <c r="C408" s="198"/>
      <c r="D408" s="198"/>
      <c r="E408" s="198"/>
      <c r="F408" s="198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</row>
    <row r="409" spans="3:19" x14ac:dyDescent="0.25">
      <c r="C409" s="198"/>
      <c r="D409" s="198"/>
      <c r="E409" s="198"/>
      <c r="F409" s="198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</row>
    <row r="410" spans="3:19" x14ac:dyDescent="0.25">
      <c r="C410" s="198"/>
      <c r="D410" s="198"/>
      <c r="E410" s="198"/>
      <c r="F410" s="198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</row>
    <row r="411" spans="3:19" x14ac:dyDescent="0.25">
      <c r="C411" s="198"/>
      <c r="D411" s="198"/>
      <c r="E411" s="198"/>
      <c r="F411" s="198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</row>
    <row r="412" spans="3:19" x14ac:dyDescent="0.25">
      <c r="C412" s="198"/>
      <c r="D412" s="198"/>
      <c r="E412" s="198"/>
      <c r="F412" s="198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</row>
    <row r="413" spans="3:19" x14ac:dyDescent="0.25">
      <c r="C413" s="198"/>
      <c r="D413" s="198"/>
      <c r="E413" s="198"/>
      <c r="F413" s="198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</row>
    <row r="414" spans="3:19" x14ac:dyDescent="0.25">
      <c r="C414" s="198"/>
      <c r="D414" s="198"/>
      <c r="E414" s="198"/>
      <c r="F414" s="198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</row>
    <row r="415" spans="3:19" x14ac:dyDescent="0.25">
      <c r="C415" s="198"/>
      <c r="D415" s="198"/>
      <c r="E415" s="198"/>
      <c r="F415" s="198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</row>
    <row r="416" spans="3:19" x14ac:dyDescent="0.25">
      <c r="C416" s="198"/>
      <c r="D416" s="198"/>
      <c r="E416" s="198"/>
      <c r="F416" s="198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</row>
    <row r="417" spans="3:19" x14ac:dyDescent="0.25">
      <c r="C417" s="198"/>
      <c r="D417" s="198"/>
      <c r="E417" s="198"/>
      <c r="F417" s="198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</row>
    <row r="418" spans="3:19" x14ac:dyDescent="0.25">
      <c r="C418" s="198"/>
      <c r="D418" s="198"/>
      <c r="E418" s="198"/>
      <c r="F418" s="198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</row>
    <row r="419" spans="3:19" x14ac:dyDescent="0.25">
      <c r="C419" s="198"/>
      <c r="D419" s="198"/>
      <c r="E419" s="198"/>
      <c r="F419" s="198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</row>
    <row r="420" spans="3:19" x14ac:dyDescent="0.25">
      <c r="C420" s="198"/>
      <c r="D420" s="198"/>
      <c r="E420" s="198"/>
      <c r="F420" s="198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</row>
    <row r="421" spans="3:19" x14ac:dyDescent="0.25">
      <c r="C421" s="198"/>
      <c r="D421" s="198"/>
      <c r="E421" s="198"/>
      <c r="F421" s="198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</row>
    <row r="422" spans="3:19" x14ac:dyDescent="0.25">
      <c r="C422" s="198"/>
      <c r="D422" s="198"/>
      <c r="E422" s="198"/>
      <c r="F422" s="198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</row>
    <row r="423" spans="3:19" x14ac:dyDescent="0.25">
      <c r="C423" s="198"/>
      <c r="D423" s="198"/>
      <c r="E423" s="198"/>
      <c r="F423" s="198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</row>
    <row r="424" spans="3:19" x14ac:dyDescent="0.25">
      <c r="C424" s="198"/>
      <c r="D424" s="198"/>
      <c r="E424" s="198"/>
      <c r="F424" s="198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</row>
    <row r="425" spans="3:19" x14ac:dyDescent="0.25">
      <c r="C425" s="198"/>
      <c r="D425" s="198"/>
      <c r="E425" s="198"/>
      <c r="F425" s="198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</row>
    <row r="426" spans="3:19" x14ac:dyDescent="0.25">
      <c r="C426" s="198"/>
      <c r="D426" s="198"/>
      <c r="E426" s="198"/>
      <c r="F426" s="198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</row>
    <row r="427" spans="3:19" x14ac:dyDescent="0.25">
      <c r="C427" s="198"/>
      <c r="D427" s="198"/>
      <c r="E427" s="198"/>
      <c r="F427" s="198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</row>
    <row r="428" spans="3:19" x14ac:dyDescent="0.25">
      <c r="C428" s="198"/>
      <c r="D428" s="198"/>
      <c r="E428" s="198"/>
      <c r="F428" s="198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</row>
    <row r="429" spans="3:19" x14ac:dyDescent="0.25">
      <c r="C429" s="198"/>
      <c r="D429" s="198"/>
      <c r="E429" s="198"/>
      <c r="F429" s="198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</row>
    <row r="430" spans="3:19" x14ac:dyDescent="0.25">
      <c r="C430" s="198"/>
      <c r="D430" s="198"/>
      <c r="E430" s="198"/>
      <c r="F430" s="198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</row>
    <row r="431" spans="3:19" x14ac:dyDescent="0.25">
      <c r="C431" s="198"/>
      <c r="D431" s="198"/>
      <c r="E431" s="198"/>
      <c r="F431" s="198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</row>
    <row r="432" spans="3:19" x14ac:dyDescent="0.25">
      <c r="C432" s="198"/>
      <c r="D432" s="198"/>
      <c r="E432" s="198"/>
      <c r="F432" s="198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</row>
    <row r="433" spans="3:19" x14ac:dyDescent="0.25">
      <c r="C433" s="198"/>
      <c r="D433" s="198"/>
      <c r="E433" s="198"/>
      <c r="F433" s="198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</row>
    <row r="434" spans="3:19" x14ac:dyDescent="0.25">
      <c r="C434" s="198"/>
      <c r="D434" s="198"/>
      <c r="E434" s="198"/>
      <c r="F434" s="198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</row>
    <row r="435" spans="3:19" x14ac:dyDescent="0.25">
      <c r="C435" s="198"/>
      <c r="D435" s="198"/>
      <c r="E435" s="198"/>
      <c r="F435" s="198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</row>
    <row r="436" spans="3:19" x14ac:dyDescent="0.25">
      <c r="C436" s="198"/>
      <c r="D436" s="198"/>
      <c r="E436" s="198"/>
      <c r="F436" s="198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</row>
    <row r="437" spans="3:19" x14ac:dyDescent="0.25">
      <c r="C437" s="198"/>
      <c r="D437" s="198"/>
      <c r="E437" s="198"/>
      <c r="F437" s="198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</row>
    <row r="438" spans="3:19" x14ac:dyDescent="0.25">
      <c r="C438" s="198"/>
      <c r="D438" s="198"/>
      <c r="E438" s="198"/>
      <c r="F438" s="198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</row>
    <row r="439" spans="3:19" x14ac:dyDescent="0.25">
      <c r="C439" s="198"/>
      <c r="D439" s="198"/>
      <c r="E439" s="198"/>
      <c r="F439" s="198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</row>
    <row r="440" spans="3:19" x14ac:dyDescent="0.25">
      <c r="C440" s="198"/>
      <c r="D440" s="198"/>
      <c r="E440" s="198"/>
      <c r="F440" s="198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</row>
    <row r="441" spans="3:19" x14ac:dyDescent="0.25">
      <c r="C441" s="198"/>
      <c r="D441" s="198"/>
      <c r="E441" s="198"/>
      <c r="F441" s="198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</row>
    <row r="442" spans="3:19" x14ac:dyDescent="0.25">
      <c r="C442" s="198"/>
      <c r="D442" s="198"/>
      <c r="E442" s="198"/>
      <c r="F442" s="198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</row>
    <row r="443" spans="3:19" x14ac:dyDescent="0.25">
      <c r="C443" s="198"/>
      <c r="D443" s="198"/>
      <c r="E443" s="198"/>
      <c r="F443" s="198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</row>
    <row r="444" spans="3:19" x14ac:dyDescent="0.25">
      <c r="C444" s="198"/>
      <c r="D444" s="198"/>
      <c r="E444" s="198"/>
      <c r="F444" s="198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</row>
    <row r="445" spans="3:19" x14ac:dyDescent="0.25">
      <c r="C445" s="198"/>
      <c r="D445" s="198"/>
      <c r="E445" s="198"/>
      <c r="F445" s="198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</row>
    <row r="446" spans="3:19" x14ac:dyDescent="0.25">
      <c r="C446" s="198"/>
      <c r="D446" s="198"/>
      <c r="E446" s="198"/>
      <c r="F446" s="198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</row>
    <row r="447" spans="3:19" x14ac:dyDescent="0.25">
      <c r="C447" s="198"/>
      <c r="D447" s="198"/>
      <c r="E447" s="198"/>
      <c r="F447" s="198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</row>
    <row r="448" spans="3:19" x14ac:dyDescent="0.25">
      <c r="C448" s="198"/>
      <c r="D448" s="198"/>
      <c r="E448" s="198"/>
      <c r="F448" s="198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</row>
    <row r="449" spans="3:19" x14ac:dyDescent="0.25">
      <c r="C449" s="198"/>
      <c r="D449" s="198"/>
      <c r="E449" s="198"/>
      <c r="F449" s="198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</row>
    <row r="450" spans="3:19" x14ac:dyDescent="0.25">
      <c r="C450" s="198"/>
      <c r="D450" s="198"/>
      <c r="E450" s="198"/>
      <c r="F450" s="198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</row>
    <row r="451" spans="3:19" x14ac:dyDescent="0.25">
      <c r="C451" s="198"/>
      <c r="D451" s="198"/>
      <c r="E451" s="198"/>
      <c r="F451" s="198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</row>
    <row r="452" spans="3:19" x14ac:dyDescent="0.25">
      <c r="C452" s="198"/>
      <c r="D452" s="198"/>
      <c r="E452" s="198"/>
      <c r="F452" s="198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</row>
    <row r="453" spans="3:19" x14ac:dyDescent="0.25">
      <c r="C453" s="198"/>
      <c r="D453" s="198"/>
      <c r="E453" s="198"/>
      <c r="F453" s="198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</row>
    <row r="454" spans="3:19" x14ac:dyDescent="0.25">
      <c r="C454" s="198"/>
      <c r="D454" s="198"/>
      <c r="E454" s="198"/>
      <c r="F454" s="198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</row>
    <row r="455" spans="3:19" x14ac:dyDescent="0.25">
      <c r="C455" s="198"/>
      <c r="D455" s="198"/>
      <c r="E455" s="198"/>
      <c r="F455" s="198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</row>
    <row r="456" spans="3:19" x14ac:dyDescent="0.25">
      <c r="C456" s="198"/>
      <c r="D456" s="198"/>
      <c r="E456" s="198"/>
      <c r="F456" s="198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</row>
    <row r="457" spans="3:19" x14ac:dyDescent="0.25">
      <c r="C457" s="198"/>
      <c r="D457" s="198"/>
      <c r="E457" s="198"/>
      <c r="F457" s="198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</row>
    <row r="458" spans="3:19" x14ac:dyDescent="0.25">
      <c r="C458" s="198"/>
      <c r="D458" s="198"/>
      <c r="E458" s="198"/>
      <c r="F458" s="198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</row>
    <row r="459" spans="3:19" x14ac:dyDescent="0.25">
      <c r="C459" s="198"/>
      <c r="D459" s="198"/>
      <c r="E459" s="198"/>
      <c r="F459" s="198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</row>
    <row r="460" spans="3:19" x14ac:dyDescent="0.25">
      <c r="C460" s="198"/>
      <c r="D460" s="198"/>
      <c r="E460" s="198"/>
      <c r="F460" s="198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</row>
    <row r="461" spans="3:19" x14ac:dyDescent="0.25">
      <c r="C461" s="198"/>
      <c r="D461" s="198"/>
      <c r="E461" s="198"/>
      <c r="F461" s="198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</row>
    <row r="462" spans="3:19" x14ac:dyDescent="0.25">
      <c r="C462" s="198"/>
      <c r="D462" s="198"/>
      <c r="E462" s="198"/>
      <c r="F462" s="198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</row>
    <row r="463" spans="3:19" x14ac:dyDescent="0.25">
      <c r="C463" s="198"/>
      <c r="D463" s="198"/>
      <c r="E463" s="198"/>
      <c r="F463" s="198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</row>
    <row r="464" spans="3:19" x14ac:dyDescent="0.25">
      <c r="C464" s="198"/>
      <c r="D464" s="198"/>
      <c r="E464" s="198"/>
      <c r="F464" s="198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</row>
    <row r="465" spans="3:19" x14ac:dyDescent="0.25">
      <c r="C465" s="198"/>
      <c r="D465" s="198"/>
      <c r="E465" s="198"/>
      <c r="F465" s="198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</row>
    <row r="466" spans="3:19" x14ac:dyDescent="0.25">
      <c r="C466" s="198"/>
      <c r="D466" s="198"/>
      <c r="E466" s="198"/>
      <c r="F466" s="198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</row>
    <row r="467" spans="3:19" x14ac:dyDescent="0.25">
      <c r="C467" s="198"/>
      <c r="D467" s="198"/>
      <c r="E467" s="198"/>
      <c r="F467" s="198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</row>
    <row r="468" spans="3:19" x14ac:dyDescent="0.25">
      <c r="C468" s="198"/>
      <c r="D468" s="198"/>
      <c r="E468" s="198"/>
      <c r="F468" s="198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</row>
    <row r="469" spans="3:19" x14ac:dyDescent="0.25">
      <c r="C469" s="198"/>
      <c r="D469" s="198"/>
      <c r="E469" s="198"/>
      <c r="F469" s="198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</row>
    <row r="470" spans="3:19" x14ac:dyDescent="0.25">
      <c r="C470" s="198"/>
      <c r="D470" s="198"/>
      <c r="E470" s="198"/>
      <c r="F470" s="198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</row>
    <row r="471" spans="3:19" x14ac:dyDescent="0.25">
      <c r="C471" s="198"/>
      <c r="D471" s="198"/>
      <c r="E471" s="198"/>
      <c r="F471" s="198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</row>
    <row r="472" spans="3:19" x14ac:dyDescent="0.25">
      <c r="C472" s="198"/>
      <c r="D472" s="198"/>
      <c r="E472" s="198"/>
      <c r="F472" s="198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</row>
    <row r="473" spans="3:19" x14ac:dyDescent="0.25">
      <c r="C473" s="198"/>
      <c r="D473" s="198"/>
      <c r="E473" s="198"/>
      <c r="F473" s="198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</row>
    <row r="474" spans="3:19" x14ac:dyDescent="0.25">
      <c r="C474" s="198"/>
      <c r="D474" s="198"/>
      <c r="E474" s="198"/>
      <c r="F474" s="198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</row>
    <row r="475" spans="3:19" x14ac:dyDescent="0.25">
      <c r="C475" s="198"/>
      <c r="D475" s="198"/>
      <c r="E475" s="198"/>
      <c r="F475" s="198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</row>
    <row r="476" spans="3:19" x14ac:dyDescent="0.25">
      <c r="C476" s="198"/>
      <c r="D476" s="198"/>
      <c r="E476" s="198"/>
      <c r="F476" s="198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</row>
    <row r="477" spans="3:19" x14ac:dyDescent="0.25">
      <c r="C477" s="198"/>
      <c r="D477" s="198"/>
      <c r="E477" s="198"/>
      <c r="F477" s="198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</row>
    <row r="478" spans="3:19" x14ac:dyDescent="0.25">
      <c r="C478" s="198"/>
      <c r="D478" s="198"/>
      <c r="E478" s="198"/>
      <c r="F478" s="198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</row>
    <row r="479" spans="3:19" x14ac:dyDescent="0.25">
      <c r="C479" s="198"/>
      <c r="D479" s="198"/>
      <c r="E479" s="198"/>
      <c r="F479" s="198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</row>
    <row r="480" spans="3:19" x14ac:dyDescent="0.25">
      <c r="C480" s="198"/>
      <c r="D480" s="198"/>
      <c r="E480" s="198"/>
      <c r="F480" s="198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</row>
    <row r="481" spans="3:19" x14ac:dyDescent="0.25">
      <c r="C481" s="198"/>
      <c r="D481" s="198"/>
      <c r="E481" s="198"/>
      <c r="F481" s="198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</row>
    <row r="482" spans="3:19" x14ac:dyDescent="0.25">
      <c r="C482" s="198"/>
      <c r="D482" s="198"/>
      <c r="E482" s="198"/>
      <c r="F482" s="198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</row>
    <row r="483" spans="3:19" x14ac:dyDescent="0.25">
      <c r="C483" s="198"/>
      <c r="D483" s="198"/>
      <c r="E483" s="198"/>
      <c r="F483" s="198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</row>
    <row r="484" spans="3:19" x14ac:dyDescent="0.25">
      <c r="C484" s="198"/>
      <c r="D484" s="198"/>
      <c r="E484" s="198"/>
      <c r="F484" s="198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</row>
    <row r="485" spans="3:19" x14ac:dyDescent="0.25">
      <c r="C485" s="198"/>
      <c r="D485" s="198"/>
      <c r="E485" s="198"/>
      <c r="F485" s="198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</row>
    <row r="486" spans="3:19" x14ac:dyDescent="0.25">
      <c r="C486" s="198"/>
      <c r="D486" s="198"/>
      <c r="E486" s="198"/>
      <c r="F486" s="198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</row>
    <row r="487" spans="3:19" x14ac:dyDescent="0.25">
      <c r="C487" s="198"/>
      <c r="D487" s="198"/>
      <c r="E487" s="198"/>
      <c r="F487" s="198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</row>
    <row r="488" spans="3:19" x14ac:dyDescent="0.25">
      <c r="C488" s="198"/>
      <c r="D488" s="198"/>
      <c r="E488" s="198"/>
      <c r="F488" s="198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</row>
    <row r="489" spans="3:19" x14ac:dyDescent="0.25">
      <c r="C489" s="198"/>
      <c r="D489" s="198"/>
      <c r="E489" s="198"/>
      <c r="F489" s="198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</row>
    <row r="490" spans="3:19" x14ac:dyDescent="0.25">
      <c r="C490" s="198"/>
      <c r="D490" s="198"/>
      <c r="E490" s="198"/>
      <c r="F490" s="198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</row>
    <row r="491" spans="3:19" x14ac:dyDescent="0.25">
      <c r="C491" s="198"/>
      <c r="D491" s="198"/>
      <c r="E491" s="198"/>
      <c r="F491" s="198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</row>
    <row r="492" spans="3:19" x14ac:dyDescent="0.25">
      <c r="C492" s="198"/>
      <c r="D492" s="198"/>
      <c r="E492" s="198"/>
      <c r="F492" s="198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</row>
    <row r="493" spans="3:19" x14ac:dyDescent="0.25">
      <c r="C493" s="198"/>
      <c r="D493" s="198"/>
      <c r="E493" s="198"/>
      <c r="F493" s="198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</row>
    <row r="494" spans="3:19" x14ac:dyDescent="0.25">
      <c r="C494" s="198"/>
      <c r="D494" s="198"/>
      <c r="E494" s="198"/>
      <c r="F494" s="198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</row>
    <row r="495" spans="3:19" x14ac:dyDescent="0.25">
      <c r="C495" s="198"/>
      <c r="D495" s="198"/>
      <c r="E495" s="198"/>
      <c r="F495" s="198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</row>
    <row r="496" spans="3:19" x14ac:dyDescent="0.25">
      <c r="C496" s="198"/>
      <c r="D496" s="198"/>
      <c r="E496" s="198"/>
      <c r="F496" s="198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</row>
    <row r="497" spans="3:19" x14ac:dyDescent="0.25">
      <c r="C497" s="198"/>
      <c r="D497" s="198"/>
      <c r="E497" s="198"/>
      <c r="F497" s="198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</row>
    <row r="498" spans="3:19" x14ac:dyDescent="0.25">
      <c r="C498" s="198"/>
      <c r="D498" s="198"/>
      <c r="E498" s="198"/>
      <c r="F498" s="198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</row>
    <row r="499" spans="3:19" x14ac:dyDescent="0.25">
      <c r="C499" s="198"/>
      <c r="D499" s="198"/>
      <c r="E499" s="198"/>
      <c r="F499" s="198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</row>
    <row r="500" spans="3:19" x14ac:dyDescent="0.25">
      <c r="C500" s="198"/>
      <c r="D500" s="198"/>
      <c r="E500" s="198"/>
      <c r="F500" s="198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</row>
    <row r="501" spans="3:19" x14ac:dyDescent="0.25">
      <c r="C501" s="198"/>
      <c r="D501" s="198"/>
      <c r="E501" s="198"/>
      <c r="F501" s="198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</row>
    <row r="502" spans="3:19" x14ac:dyDescent="0.25">
      <c r="C502" s="198"/>
      <c r="D502" s="198"/>
      <c r="E502" s="198"/>
      <c r="F502" s="198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</row>
    <row r="503" spans="3:19" x14ac:dyDescent="0.25">
      <c r="C503" s="198"/>
      <c r="D503" s="198"/>
      <c r="E503" s="198"/>
      <c r="F503" s="198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</row>
    <row r="504" spans="3:19" x14ac:dyDescent="0.25">
      <c r="C504" s="198"/>
      <c r="D504" s="198"/>
      <c r="E504" s="198"/>
      <c r="F504" s="198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</row>
    <row r="505" spans="3:19" x14ac:dyDescent="0.25">
      <c r="C505" s="198"/>
      <c r="D505" s="198"/>
      <c r="E505" s="198"/>
      <c r="F505" s="198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</row>
    <row r="506" spans="3:19" x14ac:dyDescent="0.25">
      <c r="C506" s="198"/>
      <c r="D506" s="198"/>
      <c r="E506" s="198"/>
      <c r="F506" s="198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</row>
    <row r="507" spans="3:19" x14ac:dyDescent="0.25">
      <c r="C507" s="198"/>
      <c r="D507" s="198"/>
      <c r="E507" s="198"/>
      <c r="F507" s="198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</row>
    <row r="508" spans="3:19" x14ac:dyDescent="0.25">
      <c r="C508" s="198"/>
      <c r="D508" s="198"/>
      <c r="E508" s="198"/>
      <c r="F508" s="198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</row>
    <row r="509" spans="3:19" x14ac:dyDescent="0.25">
      <c r="C509" s="198"/>
      <c r="D509" s="198"/>
      <c r="E509" s="198"/>
      <c r="F509" s="198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</row>
    <row r="510" spans="3:19" x14ac:dyDescent="0.25">
      <c r="C510" s="198"/>
      <c r="D510" s="198"/>
      <c r="E510" s="198"/>
      <c r="F510" s="198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</row>
    <row r="511" spans="3:19" x14ac:dyDescent="0.25">
      <c r="C511" s="198"/>
      <c r="D511" s="198"/>
      <c r="E511" s="198"/>
      <c r="F511" s="198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</row>
    <row r="512" spans="3:19" x14ac:dyDescent="0.25">
      <c r="C512" s="198"/>
      <c r="D512" s="198"/>
      <c r="E512" s="198"/>
      <c r="F512" s="198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</row>
    <row r="513" spans="3:19" x14ac:dyDescent="0.25">
      <c r="C513" s="198"/>
      <c r="D513" s="198"/>
      <c r="E513" s="198"/>
      <c r="F513" s="198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</row>
    <row r="514" spans="3:19" x14ac:dyDescent="0.25">
      <c r="C514" s="198"/>
      <c r="D514" s="198"/>
      <c r="E514" s="198"/>
      <c r="F514" s="198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</row>
    <row r="515" spans="3:19" x14ac:dyDescent="0.25">
      <c r="C515" s="198"/>
      <c r="D515" s="198"/>
      <c r="E515" s="198"/>
      <c r="F515" s="198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</row>
    <row r="516" spans="3:19" x14ac:dyDescent="0.25">
      <c r="C516" s="198"/>
      <c r="D516" s="198"/>
      <c r="E516" s="198"/>
      <c r="F516" s="198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</row>
    <row r="517" spans="3:19" x14ac:dyDescent="0.25">
      <c r="C517" s="198"/>
      <c r="D517" s="198"/>
      <c r="E517" s="198"/>
      <c r="F517" s="198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</row>
    <row r="518" spans="3:19" x14ac:dyDescent="0.25">
      <c r="C518" s="198"/>
      <c r="D518" s="198"/>
      <c r="E518" s="198"/>
      <c r="F518" s="198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</row>
    <row r="519" spans="3:19" x14ac:dyDescent="0.25">
      <c r="C519" s="198"/>
      <c r="D519" s="198"/>
      <c r="E519" s="198"/>
      <c r="F519" s="198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</row>
    <row r="520" spans="3:19" x14ac:dyDescent="0.25">
      <c r="C520" s="198"/>
      <c r="D520" s="198"/>
      <c r="E520" s="198"/>
      <c r="F520" s="198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</row>
    <row r="521" spans="3:19" x14ac:dyDescent="0.25">
      <c r="C521" s="198"/>
      <c r="D521" s="198"/>
      <c r="E521" s="198"/>
      <c r="F521" s="198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</row>
    <row r="522" spans="3:19" x14ac:dyDescent="0.25">
      <c r="C522" s="198"/>
      <c r="D522" s="198"/>
      <c r="E522" s="198"/>
      <c r="F522" s="198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</row>
    <row r="523" spans="3:19" x14ac:dyDescent="0.25">
      <c r="C523" s="198"/>
      <c r="D523" s="198"/>
      <c r="E523" s="198"/>
      <c r="F523" s="198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</row>
    <row r="524" spans="3:19" x14ac:dyDescent="0.25">
      <c r="C524" s="198"/>
      <c r="D524" s="198"/>
      <c r="E524" s="198"/>
      <c r="F524" s="198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</row>
    <row r="525" spans="3:19" x14ac:dyDescent="0.25">
      <c r="C525" s="198"/>
      <c r="D525" s="198"/>
      <c r="E525" s="198"/>
      <c r="F525" s="198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</row>
    <row r="526" spans="3:19" x14ac:dyDescent="0.25">
      <c r="C526" s="198"/>
      <c r="D526" s="198"/>
      <c r="E526" s="198"/>
      <c r="F526" s="198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</row>
    <row r="527" spans="3:19" x14ac:dyDescent="0.25">
      <c r="C527" s="198"/>
      <c r="D527" s="198"/>
      <c r="E527" s="198"/>
      <c r="F527" s="198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</row>
    <row r="528" spans="3:19" x14ac:dyDescent="0.25">
      <c r="C528" s="198"/>
      <c r="D528" s="198"/>
      <c r="E528" s="198"/>
      <c r="F528" s="198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</row>
    <row r="529" spans="3:19" x14ac:dyDescent="0.25">
      <c r="C529" s="198"/>
      <c r="D529" s="198"/>
      <c r="E529" s="198"/>
      <c r="F529" s="198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</row>
    <row r="530" spans="3:19" x14ac:dyDescent="0.25">
      <c r="C530" s="198"/>
      <c r="D530" s="198"/>
      <c r="E530" s="198"/>
      <c r="F530" s="198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</row>
    <row r="531" spans="3:19" x14ac:dyDescent="0.25">
      <c r="C531" s="198"/>
      <c r="D531" s="198"/>
      <c r="E531" s="198"/>
      <c r="F531" s="198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</row>
    <row r="532" spans="3:19" x14ac:dyDescent="0.25">
      <c r="C532" s="198"/>
      <c r="D532" s="198"/>
      <c r="E532" s="198"/>
      <c r="F532" s="198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</row>
    <row r="533" spans="3:19" x14ac:dyDescent="0.25">
      <c r="C533" s="198"/>
      <c r="D533" s="198"/>
      <c r="E533" s="198"/>
      <c r="F533" s="198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</row>
    <row r="534" spans="3:19" x14ac:dyDescent="0.25">
      <c r="C534" s="198"/>
      <c r="D534" s="198"/>
      <c r="E534" s="198"/>
      <c r="F534" s="198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</row>
    <row r="535" spans="3:19" x14ac:dyDescent="0.25">
      <c r="C535" s="198"/>
      <c r="D535" s="198"/>
      <c r="E535" s="198"/>
      <c r="F535" s="198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</row>
    <row r="536" spans="3:19" x14ac:dyDescent="0.25">
      <c r="C536" s="198"/>
      <c r="D536" s="198"/>
      <c r="E536" s="198"/>
      <c r="F536" s="198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</row>
    <row r="537" spans="3:19" x14ac:dyDescent="0.25">
      <c r="C537" s="198"/>
      <c r="D537" s="198"/>
      <c r="E537" s="198"/>
      <c r="F537" s="198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</row>
    <row r="538" spans="3:19" x14ac:dyDescent="0.25">
      <c r="C538" s="198"/>
      <c r="D538" s="198"/>
      <c r="E538" s="198"/>
      <c r="F538" s="198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</row>
    <row r="539" spans="3:19" x14ac:dyDescent="0.25">
      <c r="C539" s="198"/>
      <c r="D539" s="198"/>
      <c r="E539" s="198"/>
      <c r="F539" s="198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</row>
    <row r="540" spans="3:19" x14ac:dyDescent="0.25">
      <c r="C540" s="198"/>
      <c r="D540" s="198"/>
      <c r="E540" s="198"/>
      <c r="F540" s="198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</row>
    <row r="541" spans="3:19" x14ac:dyDescent="0.25">
      <c r="C541" s="198"/>
      <c r="D541" s="198"/>
      <c r="E541" s="198"/>
      <c r="F541" s="198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</row>
    <row r="542" spans="3:19" x14ac:dyDescent="0.25">
      <c r="C542" s="198"/>
      <c r="D542" s="198"/>
      <c r="E542" s="198"/>
      <c r="F542" s="198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</row>
    <row r="543" spans="3:19" x14ac:dyDescent="0.25">
      <c r="C543" s="198"/>
      <c r="D543" s="198"/>
      <c r="E543" s="198"/>
      <c r="F543" s="198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</row>
    <row r="544" spans="3:19" x14ac:dyDescent="0.25">
      <c r="C544" s="198"/>
      <c r="D544" s="198"/>
      <c r="E544" s="198"/>
      <c r="F544" s="198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</row>
    <row r="545" spans="3:19" x14ac:dyDescent="0.25">
      <c r="C545" s="198"/>
      <c r="D545" s="198"/>
      <c r="E545" s="198"/>
      <c r="F545" s="198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</row>
    <row r="546" spans="3:19" x14ac:dyDescent="0.25">
      <c r="C546" s="198"/>
      <c r="D546" s="198"/>
      <c r="E546" s="198"/>
      <c r="F546" s="198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</row>
    <row r="547" spans="3:19" x14ac:dyDescent="0.25">
      <c r="C547" s="198"/>
      <c r="D547" s="198"/>
      <c r="E547" s="198"/>
      <c r="F547" s="198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</row>
    <row r="548" spans="3:19" x14ac:dyDescent="0.25">
      <c r="C548" s="198"/>
      <c r="D548" s="198"/>
      <c r="E548" s="198"/>
      <c r="F548" s="198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</row>
    <row r="549" spans="3:19" x14ac:dyDescent="0.25">
      <c r="C549" s="198"/>
      <c r="D549" s="198"/>
      <c r="E549" s="198"/>
      <c r="F549" s="198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</row>
    <row r="550" spans="3:19" x14ac:dyDescent="0.25">
      <c r="C550" s="198"/>
      <c r="D550" s="198"/>
      <c r="E550" s="198"/>
      <c r="F550" s="198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</row>
    <row r="551" spans="3:19" x14ac:dyDescent="0.25">
      <c r="C551" s="198"/>
      <c r="D551" s="198"/>
      <c r="E551" s="198"/>
      <c r="F551" s="198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</row>
    <row r="552" spans="3:19" x14ac:dyDescent="0.25">
      <c r="C552" s="198"/>
      <c r="D552" s="198"/>
      <c r="E552" s="198"/>
      <c r="F552" s="198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</row>
    <row r="553" spans="3:19" x14ac:dyDescent="0.25">
      <c r="C553" s="198"/>
      <c r="D553" s="198"/>
      <c r="E553" s="198"/>
      <c r="F553" s="198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</row>
    <row r="554" spans="3:19" x14ac:dyDescent="0.25">
      <c r="C554" s="198"/>
      <c r="D554" s="198"/>
      <c r="E554" s="198"/>
      <c r="F554" s="198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</row>
    <row r="555" spans="3:19" x14ac:dyDescent="0.25">
      <c r="C555" s="198"/>
      <c r="D555" s="198"/>
      <c r="E555" s="198"/>
      <c r="F555" s="198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</row>
    <row r="556" spans="3:19" x14ac:dyDescent="0.25">
      <c r="C556" s="198"/>
      <c r="D556" s="198"/>
      <c r="E556" s="198"/>
      <c r="F556" s="198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</row>
    <row r="557" spans="3:19" x14ac:dyDescent="0.25">
      <c r="C557" s="198"/>
      <c r="D557" s="198"/>
      <c r="E557" s="198"/>
      <c r="F557" s="198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</row>
    <row r="558" spans="3:19" x14ac:dyDescent="0.25">
      <c r="C558" s="198"/>
      <c r="D558" s="198"/>
      <c r="E558" s="198"/>
      <c r="F558" s="198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</row>
    <row r="559" spans="3:19" x14ac:dyDescent="0.25">
      <c r="C559" s="198"/>
      <c r="D559" s="198"/>
      <c r="E559" s="198"/>
      <c r="F559" s="198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</row>
    <row r="560" spans="3:19" x14ac:dyDescent="0.25">
      <c r="C560" s="198"/>
      <c r="D560" s="198"/>
      <c r="E560" s="198"/>
      <c r="F560" s="198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</row>
    <row r="561" spans="3:19" x14ac:dyDescent="0.25">
      <c r="C561" s="198"/>
      <c r="D561" s="198"/>
      <c r="E561" s="198"/>
      <c r="F561" s="198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</row>
    <row r="562" spans="3:19" x14ac:dyDescent="0.25">
      <c r="C562" s="198"/>
      <c r="D562" s="198"/>
      <c r="E562" s="198"/>
      <c r="F562" s="198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</row>
    <row r="563" spans="3:19" x14ac:dyDescent="0.25">
      <c r="C563" s="198"/>
      <c r="D563" s="198"/>
      <c r="E563" s="198"/>
      <c r="F563" s="198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</row>
    <row r="564" spans="3:19" x14ac:dyDescent="0.25">
      <c r="C564" s="198"/>
      <c r="D564" s="198"/>
      <c r="E564" s="198"/>
      <c r="F564" s="198"/>
      <c r="G564" s="198"/>
      <c r="H564" s="198"/>
      <c r="I564" s="198"/>
      <c r="J564" s="198"/>
      <c r="K564" s="198"/>
      <c r="L564" s="198"/>
      <c r="M564" s="198"/>
      <c r="N564" s="198"/>
      <c r="O564" s="198"/>
      <c r="P564" s="198"/>
      <c r="Q564" s="198"/>
      <c r="R564" s="198"/>
      <c r="S564" s="198"/>
    </row>
    <row r="565" spans="3:19" x14ac:dyDescent="0.25">
      <c r="C565" s="198"/>
      <c r="D565" s="198"/>
      <c r="E565" s="198"/>
      <c r="F565" s="198"/>
      <c r="G565" s="198"/>
      <c r="H565" s="198"/>
      <c r="I565" s="198"/>
      <c r="J565" s="198"/>
      <c r="K565" s="198"/>
      <c r="L565" s="198"/>
      <c r="M565" s="198"/>
      <c r="N565" s="198"/>
      <c r="O565" s="198"/>
      <c r="P565" s="198"/>
      <c r="Q565" s="198"/>
      <c r="R565" s="198"/>
      <c r="S565" s="198"/>
    </row>
    <row r="566" spans="3:19" x14ac:dyDescent="0.25">
      <c r="C566" s="198"/>
      <c r="D566" s="198"/>
      <c r="E566" s="198"/>
      <c r="F566" s="198"/>
      <c r="G566" s="198"/>
      <c r="H566" s="198"/>
      <c r="I566" s="198"/>
      <c r="J566" s="198"/>
      <c r="K566" s="198"/>
      <c r="L566" s="198"/>
      <c r="M566" s="198"/>
      <c r="N566" s="198"/>
      <c r="O566" s="198"/>
      <c r="P566" s="198"/>
      <c r="Q566" s="198"/>
      <c r="R566" s="198"/>
      <c r="S566" s="198"/>
    </row>
    <row r="567" spans="3:19" x14ac:dyDescent="0.25">
      <c r="C567" s="198"/>
      <c r="D567" s="198"/>
      <c r="E567" s="198"/>
      <c r="F567" s="198"/>
      <c r="G567" s="198"/>
      <c r="H567" s="198"/>
      <c r="I567" s="198"/>
      <c r="J567" s="198"/>
      <c r="K567" s="198"/>
      <c r="L567" s="198"/>
      <c r="M567" s="198"/>
      <c r="N567" s="198"/>
      <c r="O567" s="198"/>
      <c r="P567" s="198"/>
      <c r="Q567" s="198"/>
      <c r="R567" s="198"/>
      <c r="S567" s="198"/>
    </row>
    <row r="568" spans="3:19" x14ac:dyDescent="0.25">
      <c r="C568" s="198"/>
      <c r="D568" s="198"/>
      <c r="E568" s="198"/>
      <c r="F568" s="198"/>
      <c r="G568" s="198"/>
      <c r="H568" s="198"/>
      <c r="I568" s="198"/>
      <c r="J568" s="198"/>
      <c r="K568" s="198"/>
      <c r="L568" s="198"/>
      <c r="M568" s="198"/>
      <c r="N568" s="198"/>
      <c r="O568" s="198"/>
      <c r="P568" s="198"/>
      <c r="Q568" s="198"/>
      <c r="R568" s="198"/>
      <c r="S568" s="198"/>
    </row>
    <row r="569" spans="3:19" x14ac:dyDescent="0.25">
      <c r="C569" s="198"/>
      <c r="D569" s="198"/>
      <c r="E569" s="198"/>
      <c r="F569" s="198"/>
      <c r="G569" s="198"/>
      <c r="H569" s="198"/>
      <c r="I569" s="198"/>
      <c r="J569" s="198"/>
      <c r="K569" s="198"/>
      <c r="L569" s="198"/>
      <c r="M569" s="198"/>
      <c r="N569" s="198"/>
      <c r="O569" s="198"/>
      <c r="P569" s="198"/>
      <c r="Q569" s="198"/>
      <c r="R569" s="198"/>
      <c r="S569" s="198"/>
    </row>
    <row r="570" spans="3:19" x14ac:dyDescent="0.25">
      <c r="C570" s="198"/>
      <c r="D570" s="198"/>
      <c r="E570" s="198"/>
      <c r="F570" s="198"/>
      <c r="G570" s="198"/>
      <c r="H570" s="198"/>
      <c r="I570" s="198"/>
      <c r="J570" s="198"/>
      <c r="K570" s="198"/>
      <c r="L570" s="198"/>
      <c r="M570" s="198"/>
      <c r="N570" s="198"/>
      <c r="O570" s="198"/>
      <c r="P570" s="198"/>
      <c r="Q570" s="198"/>
      <c r="R570" s="198"/>
      <c r="S570" s="198"/>
    </row>
    <row r="571" spans="3:19" x14ac:dyDescent="0.25">
      <c r="C571" s="198"/>
      <c r="D571" s="198"/>
      <c r="E571" s="198"/>
      <c r="F571" s="198"/>
      <c r="G571" s="198"/>
      <c r="H571" s="198"/>
      <c r="I571" s="198"/>
      <c r="J571" s="198"/>
      <c r="K571" s="198"/>
      <c r="L571" s="198"/>
      <c r="M571" s="198"/>
      <c r="N571" s="198"/>
      <c r="O571" s="198"/>
      <c r="P571" s="198"/>
      <c r="Q571" s="198"/>
      <c r="R571" s="198"/>
      <c r="S571" s="198"/>
    </row>
    <row r="572" spans="3:19" x14ac:dyDescent="0.25">
      <c r="C572" s="198"/>
      <c r="D572" s="198"/>
      <c r="E572" s="198"/>
      <c r="F572" s="198"/>
      <c r="G572" s="198"/>
      <c r="H572" s="198"/>
      <c r="I572" s="198"/>
      <c r="J572" s="198"/>
      <c r="K572" s="198"/>
      <c r="L572" s="198"/>
      <c r="M572" s="198"/>
      <c r="N572" s="198"/>
      <c r="O572" s="198"/>
      <c r="P572" s="198"/>
      <c r="Q572" s="198"/>
      <c r="R572" s="198"/>
      <c r="S572" s="198"/>
    </row>
    <row r="573" spans="3:19" x14ac:dyDescent="0.25">
      <c r="C573" s="198"/>
      <c r="D573" s="198"/>
      <c r="E573" s="198"/>
      <c r="F573" s="198"/>
      <c r="G573" s="198"/>
      <c r="H573" s="198"/>
      <c r="I573" s="198"/>
      <c r="J573" s="198"/>
      <c r="K573" s="198"/>
      <c r="L573" s="198"/>
      <c r="M573" s="198"/>
      <c r="N573" s="198"/>
      <c r="O573" s="198"/>
      <c r="P573" s="198"/>
      <c r="Q573" s="198"/>
      <c r="R573" s="198"/>
      <c r="S573" s="198"/>
    </row>
    <row r="574" spans="3:19" x14ac:dyDescent="0.25">
      <c r="C574" s="198"/>
      <c r="D574" s="198"/>
      <c r="E574" s="198"/>
      <c r="F574" s="198"/>
      <c r="G574" s="198"/>
      <c r="H574" s="198"/>
      <c r="I574" s="198"/>
      <c r="J574" s="198"/>
      <c r="K574" s="198"/>
      <c r="L574" s="198"/>
      <c r="M574" s="198"/>
      <c r="N574" s="198"/>
      <c r="O574" s="198"/>
      <c r="P574" s="198"/>
      <c r="Q574" s="198"/>
      <c r="R574" s="198"/>
      <c r="S574" s="198"/>
    </row>
    <row r="575" spans="3:19" x14ac:dyDescent="0.25">
      <c r="C575" s="198"/>
      <c r="D575" s="198"/>
      <c r="E575" s="198"/>
      <c r="F575" s="198"/>
      <c r="G575" s="198"/>
      <c r="H575" s="198"/>
      <c r="I575" s="198"/>
      <c r="J575" s="198"/>
      <c r="K575" s="198"/>
      <c r="L575" s="198"/>
      <c r="M575" s="198"/>
      <c r="N575" s="198"/>
      <c r="O575" s="198"/>
      <c r="P575" s="198"/>
      <c r="Q575" s="198"/>
      <c r="R575" s="198"/>
      <c r="S575" s="198"/>
    </row>
    <row r="576" spans="3:19" x14ac:dyDescent="0.25">
      <c r="C576" s="198"/>
      <c r="D576" s="198"/>
      <c r="E576" s="198"/>
      <c r="F576" s="198"/>
      <c r="G576" s="198"/>
      <c r="H576" s="198"/>
      <c r="I576" s="198"/>
      <c r="J576" s="198"/>
      <c r="K576" s="198"/>
      <c r="L576" s="198"/>
      <c r="M576" s="198"/>
      <c r="N576" s="198"/>
      <c r="O576" s="198"/>
      <c r="P576" s="198"/>
      <c r="Q576" s="198"/>
      <c r="R576" s="198"/>
      <c r="S576" s="198"/>
    </row>
    <row r="577" spans="3:19" x14ac:dyDescent="0.25">
      <c r="C577" s="198"/>
      <c r="D577" s="198"/>
      <c r="E577" s="198"/>
      <c r="F577" s="198"/>
      <c r="G577" s="198"/>
      <c r="H577" s="198"/>
      <c r="I577" s="198"/>
      <c r="J577" s="198"/>
      <c r="K577" s="198"/>
      <c r="L577" s="198"/>
      <c r="M577" s="198"/>
      <c r="N577" s="198"/>
      <c r="O577" s="198"/>
      <c r="P577" s="198"/>
      <c r="Q577" s="198"/>
      <c r="R577" s="198"/>
      <c r="S577" s="198"/>
    </row>
    <row r="578" spans="3:19" x14ac:dyDescent="0.25">
      <c r="C578" s="198"/>
      <c r="D578" s="198"/>
      <c r="E578" s="198"/>
      <c r="F578" s="198"/>
      <c r="G578" s="198"/>
      <c r="H578" s="198"/>
      <c r="I578" s="198"/>
      <c r="J578" s="198"/>
      <c r="K578" s="198"/>
      <c r="L578" s="198"/>
      <c r="M578" s="198"/>
      <c r="N578" s="198"/>
      <c r="O578" s="198"/>
      <c r="P578" s="198"/>
      <c r="Q578" s="198"/>
      <c r="R578" s="198"/>
      <c r="S578" s="198"/>
    </row>
    <row r="579" spans="3:19" x14ac:dyDescent="0.25">
      <c r="C579" s="198"/>
      <c r="D579" s="198"/>
      <c r="E579" s="198"/>
      <c r="F579" s="198"/>
      <c r="G579" s="198"/>
      <c r="H579" s="198"/>
      <c r="I579" s="198"/>
      <c r="J579" s="198"/>
      <c r="K579" s="198"/>
      <c r="L579" s="198"/>
      <c r="M579" s="198"/>
      <c r="N579" s="198"/>
      <c r="O579" s="198"/>
      <c r="P579" s="198"/>
      <c r="Q579" s="198"/>
      <c r="R579" s="198"/>
      <c r="S579" s="198"/>
    </row>
    <row r="580" spans="3:19" x14ac:dyDescent="0.25">
      <c r="C580" s="198"/>
      <c r="D580" s="198"/>
      <c r="E580" s="198"/>
      <c r="F580" s="198"/>
      <c r="G580" s="198"/>
      <c r="H580" s="198"/>
      <c r="I580" s="198"/>
      <c r="J580" s="198"/>
      <c r="K580" s="198"/>
      <c r="L580" s="198"/>
      <c r="M580" s="198"/>
      <c r="N580" s="198"/>
      <c r="O580" s="198"/>
      <c r="P580" s="198"/>
      <c r="Q580" s="198"/>
      <c r="R580" s="198"/>
      <c r="S580" s="198"/>
    </row>
    <row r="581" spans="3:19" x14ac:dyDescent="0.25">
      <c r="C581" s="198"/>
      <c r="D581" s="198"/>
      <c r="E581" s="198"/>
      <c r="F581" s="198"/>
      <c r="G581" s="198"/>
      <c r="H581" s="198"/>
      <c r="I581" s="198"/>
      <c r="J581" s="198"/>
      <c r="K581" s="198"/>
      <c r="L581" s="198"/>
      <c r="M581" s="198"/>
      <c r="N581" s="198"/>
      <c r="O581" s="198"/>
      <c r="P581" s="198"/>
      <c r="Q581" s="198"/>
      <c r="R581" s="198"/>
      <c r="S581" s="198"/>
    </row>
    <row r="582" spans="3:19" x14ac:dyDescent="0.25">
      <c r="C582" s="198"/>
      <c r="D582" s="198"/>
      <c r="E582" s="198"/>
      <c r="F582" s="198"/>
      <c r="G582" s="198"/>
      <c r="H582" s="198"/>
      <c r="I582" s="198"/>
      <c r="J582" s="198"/>
      <c r="K582" s="198"/>
      <c r="L582" s="198"/>
      <c r="M582" s="198"/>
      <c r="N582" s="198"/>
      <c r="O582" s="198"/>
      <c r="P582" s="198"/>
      <c r="Q582" s="198"/>
      <c r="R582" s="198"/>
      <c r="S582" s="198"/>
    </row>
    <row r="583" spans="3:19" x14ac:dyDescent="0.25">
      <c r="C583" s="198"/>
      <c r="D583" s="198"/>
      <c r="E583" s="198"/>
      <c r="F583" s="198"/>
      <c r="G583" s="198"/>
      <c r="H583" s="198"/>
      <c r="I583" s="198"/>
      <c r="J583" s="198"/>
      <c r="K583" s="198"/>
      <c r="L583" s="198"/>
      <c r="M583" s="198"/>
      <c r="N583" s="198"/>
      <c r="O583" s="198"/>
      <c r="P583" s="198"/>
      <c r="Q583" s="198"/>
      <c r="R583" s="198"/>
      <c r="S583" s="198"/>
    </row>
    <row r="584" spans="3:19" x14ac:dyDescent="0.25">
      <c r="C584" s="198"/>
      <c r="D584" s="198"/>
      <c r="E584" s="198"/>
      <c r="F584" s="198"/>
      <c r="G584" s="198"/>
      <c r="H584" s="198"/>
      <c r="I584" s="198"/>
      <c r="J584" s="198"/>
      <c r="K584" s="198"/>
      <c r="L584" s="198"/>
      <c r="M584" s="198"/>
      <c r="N584" s="198"/>
      <c r="O584" s="198"/>
      <c r="P584" s="198"/>
      <c r="Q584" s="198"/>
      <c r="R584" s="198"/>
      <c r="S584" s="198"/>
    </row>
    <row r="585" spans="3:19" x14ac:dyDescent="0.25">
      <c r="C585" s="198"/>
      <c r="D585" s="198"/>
      <c r="E585" s="198"/>
      <c r="F585" s="198"/>
      <c r="G585" s="198"/>
      <c r="H585" s="198"/>
      <c r="I585" s="198"/>
      <c r="J585" s="198"/>
      <c r="K585" s="198"/>
      <c r="L585" s="198"/>
      <c r="M585" s="198"/>
      <c r="N585" s="198"/>
      <c r="O585" s="198"/>
      <c r="P585" s="198"/>
      <c r="Q585" s="198"/>
      <c r="R585" s="198"/>
      <c r="S585" s="198"/>
    </row>
    <row r="586" spans="3:19" x14ac:dyDescent="0.25">
      <c r="C586" s="198"/>
      <c r="D586" s="198"/>
      <c r="E586" s="198"/>
      <c r="F586" s="198"/>
      <c r="G586" s="198"/>
      <c r="H586" s="198"/>
      <c r="I586" s="198"/>
      <c r="J586" s="198"/>
      <c r="K586" s="198"/>
      <c r="L586" s="198"/>
      <c r="M586" s="198"/>
      <c r="N586" s="198"/>
      <c r="O586" s="198"/>
      <c r="P586" s="198"/>
      <c r="Q586" s="198"/>
      <c r="R586" s="198"/>
      <c r="S586" s="198"/>
    </row>
    <row r="587" spans="3:19" x14ac:dyDescent="0.25">
      <c r="C587" s="198"/>
      <c r="D587" s="198"/>
      <c r="E587" s="198"/>
      <c r="F587" s="198"/>
      <c r="G587" s="198"/>
      <c r="H587" s="198"/>
      <c r="I587" s="198"/>
      <c r="J587" s="198"/>
      <c r="K587" s="198"/>
      <c r="L587" s="198"/>
      <c r="M587" s="198"/>
      <c r="N587" s="198"/>
      <c r="O587" s="198"/>
      <c r="P587" s="198"/>
      <c r="Q587" s="198"/>
      <c r="R587" s="198"/>
      <c r="S587" s="198"/>
    </row>
    <row r="588" spans="3:19" x14ac:dyDescent="0.25">
      <c r="C588" s="198"/>
      <c r="D588" s="198"/>
      <c r="E588" s="198"/>
      <c r="F588" s="198"/>
      <c r="G588" s="198"/>
      <c r="H588" s="198"/>
      <c r="I588" s="198"/>
      <c r="J588" s="198"/>
      <c r="K588" s="198"/>
      <c r="L588" s="198"/>
      <c r="M588" s="198"/>
      <c r="N588" s="198"/>
      <c r="O588" s="198"/>
      <c r="P588" s="198"/>
      <c r="Q588" s="198"/>
      <c r="R588" s="198"/>
      <c r="S588" s="198"/>
    </row>
    <row r="589" spans="3:19" x14ac:dyDescent="0.25">
      <c r="C589" s="198"/>
      <c r="D589" s="198"/>
      <c r="E589" s="198"/>
      <c r="F589" s="198"/>
      <c r="G589" s="198"/>
      <c r="H589" s="198"/>
      <c r="I589" s="198"/>
      <c r="J589" s="198"/>
      <c r="K589" s="198"/>
      <c r="L589" s="198"/>
      <c r="M589" s="198"/>
      <c r="N589" s="198"/>
      <c r="O589" s="198"/>
      <c r="P589" s="198"/>
      <c r="Q589" s="198"/>
      <c r="R589" s="198"/>
      <c r="S589" s="198"/>
    </row>
    <row r="590" spans="3:19" x14ac:dyDescent="0.25">
      <c r="C590" s="198"/>
      <c r="D590" s="198"/>
      <c r="E590" s="198"/>
      <c r="F590" s="198"/>
      <c r="G590" s="198"/>
      <c r="H590" s="198"/>
      <c r="I590" s="198"/>
      <c r="J590" s="198"/>
      <c r="K590" s="198"/>
      <c r="L590" s="198"/>
      <c r="M590" s="198"/>
      <c r="N590" s="198"/>
      <c r="O590" s="198"/>
      <c r="P590" s="198"/>
      <c r="Q590" s="198"/>
      <c r="R590" s="198"/>
      <c r="S590" s="198"/>
    </row>
    <row r="591" spans="3:19" x14ac:dyDescent="0.25">
      <c r="C591" s="198"/>
      <c r="D591" s="198"/>
      <c r="E591" s="198"/>
      <c r="F591" s="198"/>
      <c r="G591" s="198"/>
      <c r="H591" s="198"/>
      <c r="I591" s="198"/>
      <c r="J591" s="198"/>
      <c r="K591" s="198"/>
      <c r="L591" s="198"/>
      <c r="M591" s="198"/>
      <c r="N591" s="198"/>
      <c r="O591" s="198"/>
      <c r="P591" s="198"/>
      <c r="Q591" s="198"/>
      <c r="R591" s="198"/>
      <c r="S591" s="198"/>
    </row>
    <row r="592" spans="3:19" x14ac:dyDescent="0.25">
      <c r="C592" s="198"/>
      <c r="D592" s="198"/>
      <c r="E592" s="198"/>
      <c r="F592" s="198"/>
      <c r="G592" s="198"/>
      <c r="H592" s="198"/>
      <c r="I592" s="198"/>
      <c r="J592" s="198"/>
      <c r="K592" s="198"/>
      <c r="L592" s="198"/>
      <c r="M592" s="198"/>
      <c r="N592" s="198"/>
      <c r="O592" s="198"/>
      <c r="P592" s="198"/>
      <c r="Q592" s="198"/>
      <c r="R592" s="198"/>
      <c r="S592" s="198"/>
    </row>
    <row r="593" spans="3:19" x14ac:dyDescent="0.25">
      <c r="C593" s="198"/>
      <c r="D593" s="198"/>
      <c r="E593" s="198"/>
      <c r="F593" s="198"/>
      <c r="G593" s="198"/>
      <c r="H593" s="198"/>
      <c r="I593" s="198"/>
      <c r="J593" s="198"/>
      <c r="K593" s="198"/>
      <c r="L593" s="198"/>
      <c r="M593" s="198"/>
      <c r="N593" s="198"/>
      <c r="O593" s="198"/>
      <c r="P593" s="198"/>
      <c r="Q593" s="198"/>
      <c r="R593" s="198"/>
      <c r="S593" s="198"/>
    </row>
    <row r="594" spans="3:19" x14ac:dyDescent="0.25">
      <c r="C594" s="198"/>
      <c r="D594" s="198"/>
      <c r="E594" s="198"/>
      <c r="F594" s="198"/>
      <c r="G594" s="198"/>
      <c r="H594" s="198"/>
      <c r="I594" s="198"/>
      <c r="J594" s="198"/>
      <c r="K594" s="198"/>
      <c r="L594" s="198"/>
      <c r="M594" s="198"/>
      <c r="N594" s="198"/>
      <c r="O594" s="198"/>
      <c r="P594" s="198"/>
      <c r="Q594" s="198"/>
      <c r="R594" s="198"/>
      <c r="S594" s="198"/>
    </row>
    <row r="595" spans="3:19" x14ac:dyDescent="0.25">
      <c r="C595" s="198"/>
      <c r="D595" s="198"/>
      <c r="E595" s="198"/>
      <c r="F595" s="198"/>
      <c r="G595" s="198"/>
      <c r="H595" s="198"/>
      <c r="I595" s="198"/>
      <c r="J595" s="198"/>
      <c r="K595" s="198"/>
      <c r="L595" s="198"/>
      <c r="M595" s="198"/>
      <c r="N595" s="198"/>
      <c r="O595" s="198"/>
      <c r="P595" s="198"/>
      <c r="Q595" s="198"/>
      <c r="R595" s="198"/>
      <c r="S595" s="198"/>
    </row>
    <row r="596" spans="3:19" x14ac:dyDescent="0.25">
      <c r="C596" s="198"/>
      <c r="D596" s="198"/>
      <c r="E596" s="198"/>
      <c r="F596" s="198"/>
      <c r="G596" s="198"/>
      <c r="H596" s="198"/>
      <c r="I596" s="198"/>
      <c r="J596" s="198"/>
      <c r="K596" s="198"/>
      <c r="L596" s="198"/>
      <c r="M596" s="198"/>
      <c r="N596" s="198"/>
      <c r="O596" s="198"/>
      <c r="P596" s="198"/>
      <c r="Q596" s="198"/>
      <c r="R596" s="198"/>
      <c r="S596" s="198"/>
    </row>
    <row r="597" spans="3:19" x14ac:dyDescent="0.25">
      <c r="C597" s="198"/>
      <c r="D597" s="198"/>
      <c r="E597" s="198"/>
      <c r="F597" s="198"/>
      <c r="G597" s="198"/>
      <c r="H597" s="198"/>
      <c r="I597" s="198"/>
      <c r="J597" s="198"/>
      <c r="K597" s="198"/>
      <c r="L597" s="198"/>
      <c r="M597" s="198"/>
      <c r="N597" s="198"/>
      <c r="O597" s="198"/>
      <c r="P597" s="198"/>
      <c r="Q597" s="198"/>
      <c r="R597" s="198"/>
      <c r="S597" s="198"/>
    </row>
    <row r="598" spans="3:19" x14ac:dyDescent="0.25">
      <c r="C598" s="198"/>
      <c r="D598" s="198"/>
      <c r="E598" s="198"/>
      <c r="F598" s="198"/>
      <c r="G598" s="198"/>
      <c r="H598" s="198"/>
      <c r="I598" s="198"/>
      <c r="J598" s="198"/>
      <c r="K598" s="198"/>
      <c r="L598" s="198"/>
      <c r="M598" s="198"/>
      <c r="N598" s="198"/>
      <c r="O598" s="198"/>
      <c r="P598" s="198"/>
      <c r="Q598" s="198"/>
      <c r="R598" s="198"/>
      <c r="S598" s="198"/>
    </row>
    <row r="599" spans="3:19" x14ac:dyDescent="0.25">
      <c r="C599" s="198"/>
      <c r="D599" s="198"/>
      <c r="E599" s="198"/>
      <c r="F599" s="198"/>
      <c r="G599" s="198"/>
      <c r="H599" s="198"/>
      <c r="I599" s="198"/>
      <c r="J599" s="198"/>
      <c r="K599" s="198"/>
      <c r="L599" s="198"/>
      <c r="M599" s="198"/>
      <c r="N599" s="198"/>
      <c r="O599" s="198"/>
      <c r="P599" s="198"/>
      <c r="Q599" s="198"/>
      <c r="R599" s="198"/>
      <c r="S599" s="198"/>
    </row>
    <row r="600" spans="3:19" x14ac:dyDescent="0.25">
      <c r="C600" s="198"/>
      <c r="D600" s="198"/>
      <c r="E600" s="198"/>
      <c r="F600" s="198"/>
      <c r="G600" s="198"/>
      <c r="H600" s="198"/>
      <c r="I600" s="198"/>
      <c r="J600" s="198"/>
      <c r="K600" s="198"/>
      <c r="L600" s="198"/>
      <c r="M600" s="198"/>
      <c r="N600" s="198"/>
      <c r="O600" s="198"/>
      <c r="P600" s="198"/>
      <c r="Q600" s="198"/>
      <c r="R600" s="198"/>
      <c r="S600" s="198"/>
    </row>
    <row r="601" spans="3:19" x14ac:dyDescent="0.25">
      <c r="C601" s="198"/>
      <c r="D601" s="198"/>
      <c r="E601" s="198"/>
      <c r="F601" s="198"/>
      <c r="G601" s="198"/>
      <c r="H601" s="198"/>
      <c r="I601" s="198"/>
      <c r="J601" s="198"/>
      <c r="K601" s="198"/>
      <c r="L601" s="198"/>
      <c r="M601" s="198"/>
      <c r="N601" s="198"/>
      <c r="O601" s="198"/>
      <c r="P601" s="198"/>
      <c r="Q601" s="198"/>
      <c r="R601" s="198"/>
      <c r="S601" s="198"/>
    </row>
    <row r="602" spans="3:19" x14ac:dyDescent="0.25">
      <c r="C602" s="198"/>
      <c r="D602" s="198"/>
      <c r="E602" s="198"/>
      <c r="F602" s="198"/>
      <c r="G602" s="198"/>
      <c r="H602" s="198"/>
      <c r="I602" s="198"/>
      <c r="J602" s="198"/>
      <c r="K602" s="198"/>
      <c r="L602" s="198"/>
      <c r="M602" s="198"/>
      <c r="N602" s="198"/>
      <c r="O602" s="198"/>
      <c r="P602" s="198"/>
      <c r="Q602" s="198"/>
      <c r="R602" s="198"/>
      <c r="S602" s="198"/>
    </row>
    <row r="603" spans="3:19" x14ac:dyDescent="0.25">
      <c r="C603" s="198"/>
      <c r="D603" s="198"/>
      <c r="E603" s="198"/>
      <c r="F603" s="198"/>
      <c r="G603" s="198"/>
      <c r="H603" s="198"/>
      <c r="I603" s="198"/>
      <c r="J603" s="198"/>
      <c r="K603" s="198"/>
      <c r="L603" s="198"/>
      <c r="M603" s="198"/>
      <c r="N603" s="198"/>
      <c r="O603" s="198"/>
      <c r="P603" s="198"/>
      <c r="Q603" s="198"/>
      <c r="R603" s="198"/>
      <c r="S603" s="198"/>
    </row>
    <row r="604" spans="3:19" x14ac:dyDescent="0.25">
      <c r="C604" s="198"/>
      <c r="D604" s="198"/>
      <c r="E604" s="198"/>
      <c r="F604" s="198"/>
      <c r="G604" s="198"/>
      <c r="H604" s="198"/>
      <c r="I604" s="198"/>
      <c r="J604" s="198"/>
      <c r="K604" s="198"/>
      <c r="L604" s="198"/>
      <c r="M604" s="198"/>
      <c r="N604" s="198"/>
      <c r="O604" s="198"/>
      <c r="P604" s="198"/>
      <c r="Q604" s="198"/>
      <c r="R604" s="198"/>
      <c r="S604" s="198"/>
    </row>
    <row r="605" spans="3:19" x14ac:dyDescent="0.25">
      <c r="C605" s="198"/>
      <c r="D605" s="198"/>
      <c r="E605" s="198"/>
      <c r="F605" s="198"/>
      <c r="G605" s="198"/>
      <c r="H605" s="198"/>
      <c r="I605" s="198"/>
      <c r="J605" s="198"/>
      <c r="K605" s="198"/>
      <c r="L605" s="198"/>
      <c r="M605" s="198"/>
      <c r="N605" s="198"/>
      <c r="O605" s="198"/>
      <c r="P605" s="198"/>
      <c r="Q605" s="198"/>
      <c r="R605" s="198"/>
      <c r="S605" s="198"/>
    </row>
    <row r="606" spans="3:19" x14ac:dyDescent="0.25">
      <c r="C606" s="198"/>
      <c r="D606" s="198"/>
      <c r="E606" s="198"/>
      <c r="F606" s="198"/>
      <c r="G606" s="198"/>
      <c r="H606" s="198"/>
      <c r="I606" s="198"/>
      <c r="J606" s="198"/>
      <c r="K606" s="198"/>
      <c r="L606" s="198"/>
      <c r="M606" s="198"/>
      <c r="N606" s="198"/>
      <c r="O606" s="198"/>
      <c r="P606" s="198"/>
      <c r="Q606" s="198"/>
      <c r="R606" s="198"/>
      <c r="S606" s="198"/>
    </row>
    <row r="607" spans="3:19" x14ac:dyDescent="0.25">
      <c r="C607" s="198"/>
      <c r="D607" s="198"/>
      <c r="E607" s="198"/>
      <c r="F607" s="198"/>
      <c r="G607" s="198"/>
      <c r="H607" s="198"/>
      <c r="I607" s="198"/>
      <c r="J607" s="198"/>
      <c r="K607" s="198"/>
      <c r="L607" s="198"/>
      <c r="M607" s="198"/>
      <c r="N607" s="198"/>
      <c r="O607" s="198"/>
      <c r="P607" s="198"/>
      <c r="Q607" s="198"/>
      <c r="R607" s="198"/>
      <c r="S607" s="198"/>
    </row>
    <row r="608" spans="3:19" x14ac:dyDescent="0.25">
      <c r="C608" s="198"/>
      <c r="D608" s="198"/>
      <c r="E608" s="198"/>
      <c r="F608" s="198"/>
      <c r="G608" s="198"/>
      <c r="H608" s="198"/>
      <c r="I608" s="198"/>
      <c r="J608" s="198"/>
      <c r="K608" s="198"/>
      <c r="L608" s="198"/>
      <c r="M608" s="198"/>
      <c r="N608" s="198"/>
      <c r="O608" s="198"/>
      <c r="P608" s="198"/>
      <c r="Q608" s="198"/>
      <c r="R608" s="198"/>
      <c r="S608" s="198"/>
    </row>
    <row r="609" spans="3:19" x14ac:dyDescent="0.25">
      <c r="C609" s="198"/>
      <c r="D609" s="198"/>
      <c r="E609" s="198"/>
      <c r="F609" s="198"/>
      <c r="G609" s="198"/>
      <c r="H609" s="198"/>
      <c r="I609" s="198"/>
      <c r="J609" s="198"/>
      <c r="K609" s="198"/>
      <c r="L609" s="198"/>
      <c r="M609" s="198"/>
      <c r="N609" s="198"/>
      <c r="O609" s="198"/>
      <c r="P609" s="198"/>
      <c r="Q609" s="198"/>
      <c r="R609" s="198"/>
      <c r="S609" s="198"/>
    </row>
    <row r="610" spans="3:19" x14ac:dyDescent="0.25">
      <c r="C610" s="198"/>
      <c r="D610" s="198"/>
      <c r="E610" s="198"/>
      <c r="F610" s="198"/>
      <c r="G610" s="198"/>
      <c r="H610" s="198"/>
      <c r="I610" s="198"/>
      <c r="J610" s="198"/>
      <c r="K610" s="198"/>
      <c r="L610" s="198"/>
      <c r="M610" s="198"/>
      <c r="N610" s="198"/>
      <c r="O610" s="198"/>
      <c r="P610" s="198"/>
      <c r="Q610" s="198"/>
      <c r="R610" s="198"/>
      <c r="S610" s="198"/>
    </row>
    <row r="611" spans="3:19" x14ac:dyDescent="0.25">
      <c r="C611" s="198"/>
      <c r="D611" s="198"/>
      <c r="E611" s="198"/>
      <c r="F611" s="198"/>
      <c r="G611" s="198"/>
      <c r="H611" s="198"/>
      <c r="I611" s="198"/>
      <c r="J611" s="198"/>
      <c r="K611" s="198"/>
      <c r="L611" s="198"/>
      <c r="M611" s="198"/>
      <c r="N611" s="198"/>
      <c r="O611" s="198"/>
      <c r="P611" s="198"/>
      <c r="Q611" s="198"/>
      <c r="R611" s="198"/>
      <c r="S611" s="198"/>
    </row>
    <row r="612" spans="3:19" x14ac:dyDescent="0.25">
      <c r="C612" s="198"/>
      <c r="D612" s="198"/>
      <c r="E612" s="198"/>
      <c r="F612" s="198"/>
      <c r="G612" s="198"/>
      <c r="H612" s="198"/>
      <c r="I612" s="198"/>
      <c r="J612" s="198"/>
      <c r="K612" s="198"/>
      <c r="L612" s="198"/>
      <c r="M612" s="198"/>
      <c r="N612" s="198"/>
      <c r="O612" s="198"/>
      <c r="P612" s="198"/>
      <c r="Q612" s="198"/>
      <c r="R612" s="198"/>
      <c r="S612" s="198"/>
    </row>
    <row r="613" spans="3:19" x14ac:dyDescent="0.25">
      <c r="C613" s="198"/>
      <c r="D613" s="198"/>
      <c r="E613" s="198"/>
      <c r="F613" s="198"/>
      <c r="G613" s="198"/>
      <c r="H613" s="198"/>
      <c r="I613" s="198"/>
      <c r="J613" s="198"/>
      <c r="K613" s="198"/>
      <c r="L613" s="198"/>
      <c r="M613" s="198"/>
      <c r="N613" s="198"/>
      <c r="O613" s="198"/>
      <c r="P613" s="198"/>
      <c r="Q613" s="198"/>
      <c r="R613" s="198"/>
      <c r="S613" s="198"/>
    </row>
    <row r="614" spans="3:19" x14ac:dyDescent="0.25">
      <c r="C614" s="198"/>
      <c r="D614" s="198"/>
      <c r="E614" s="198"/>
      <c r="F614" s="198"/>
      <c r="G614" s="198"/>
      <c r="H614" s="198"/>
      <c r="I614" s="198"/>
      <c r="J614" s="198"/>
      <c r="K614" s="198"/>
      <c r="L614" s="198"/>
      <c r="M614" s="198"/>
      <c r="N614" s="198"/>
      <c r="O614" s="198"/>
      <c r="P614" s="198"/>
      <c r="Q614" s="198"/>
      <c r="R614" s="198"/>
      <c r="S614" s="198"/>
    </row>
    <row r="615" spans="3:19" x14ac:dyDescent="0.25">
      <c r="C615" s="198"/>
      <c r="D615" s="198"/>
      <c r="E615" s="198"/>
      <c r="F615" s="198"/>
      <c r="G615" s="198"/>
      <c r="H615" s="198"/>
      <c r="I615" s="198"/>
      <c r="J615" s="198"/>
      <c r="K615" s="198"/>
      <c r="L615" s="198"/>
      <c r="M615" s="198"/>
      <c r="N615" s="198"/>
      <c r="O615" s="198"/>
      <c r="P615" s="198"/>
      <c r="Q615" s="198"/>
      <c r="R615" s="198"/>
      <c r="S615" s="198"/>
    </row>
    <row r="616" spans="3:19" x14ac:dyDescent="0.25">
      <c r="C616" s="198"/>
      <c r="D616" s="198"/>
      <c r="E616" s="198"/>
      <c r="F616" s="198"/>
      <c r="G616" s="198"/>
      <c r="H616" s="198"/>
      <c r="I616" s="198"/>
      <c r="J616" s="198"/>
      <c r="K616" s="198"/>
      <c r="L616" s="198"/>
      <c r="M616" s="198"/>
      <c r="N616" s="198"/>
      <c r="O616" s="198"/>
      <c r="P616" s="198"/>
      <c r="Q616" s="198"/>
      <c r="R616" s="198"/>
      <c r="S616" s="198"/>
    </row>
    <row r="617" spans="3:19" x14ac:dyDescent="0.25">
      <c r="C617" s="198"/>
      <c r="D617" s="198"/>
      <c r="E617" s="198"/>
      <c r="F617" s="198"/>
      <c r="G617" s="198"/>
      <c r="H617" s="198"/>
      <c r="I617" s="198"/>
      <c r="J617" s="198"/>
      <c r="K617" s="198"/>
      <c r="L617" s="198"/>
      <c r="M617" s="198"/>
      <c r="N617" s="198"/>
      <c r="O617" s="198"/>
      <c r="P617" s="198"/>
      <c r="Q617" s="198"/>
      <c r="R617" s="198"/>
      <c r="S617" s="198"/>
    </row>
    <row r="618" spans="3:19" x14ac:dyDescent="0.25">
      <c r="C618" s="198"/>
      <c r="D618" s="198"/>
      <c r="E618" s="198"/>
      <c r="F618" s="198"/>
      <c r="G618" s="198"/>
      <c r="H618" s="198"/>
      <c r="I618" s="198"/>
      <c r="J618" s="198"/>
      <c r="K618" s="198"/>
      <c r="L618" s="198"/>
      <c r="M618" s="198"/>
      <c r="N618" s="198"/>
      <c r="O618" s="198"/>
      <c r="P618" s="198"/>
      <c r="Q618" s="198"/>
      <c r="R618" s="198"/>
      <c r="S618" s="198"/>
    </row>
    <row r="619" spans="3:19" x14ac:dyDescent="0.25">
      <c r="C619" s="198"/>
      <c r="D619" s="198"/>
      <c r="E619" s="198"/>
      <c r="F619" s="198"/>
      <c r="G619" s="198"/>
      <c r="H619" s="198"/>
      <c r="I619" s="198"/>
      <c r="J619" s="198"/>
      <c r="K619" s="198"/>
      <c r="L619" s="198"/>
      <c r="M619" s="198"/>
      <c r="N619" s="198"/>
      <c r="O619" s="198"/>
      <c r="P619" s="198"/>
      <c r="Q619" s="198"/>
      <c r="R619" s="198"/>
      <c r="S619" s="198"/>
    </row>
    <row r="620" spans="3:19" x14ac:dyDescent="0.25">
      <c r="C620" s="198"/>
      <c r="D620" s="198"/>
      <c r="E620" s="198"/>
      <c r="F620" s="198"/>
      <c r="G620" s="198"/>
      <c r="H620" s="198"/>
      <c r="I620" s="198"/>
      <c r="J620" s="198"/>
      <c r="K620" s="198"/>
      <c r="L620" s="198"/>
      <c r="M620" s="198"/>
      <c r="N620" s="198"/>
      <c r="O620" s="198"/>
      <c r="P620" s="198"/>
      <c r="Q620" s="198"/>
      <c r="R620" s="198"/>
      <c r="S620" s="198"/>
    </row>
    <row r="621" spans="3:19" x14ac:dyDescent="0.25">
      <c r="C621" s="198"/>
      <c r="D621" s="198"/>
      <c r="E621" s="198"/>
      <c r="F621" s="198"/>
      <c r="G621" s="198"/>
      <c r="H621" s="198"/>
      <c r="I621" s="198"/>
      <c r="J621" s="198"/>
      <c r="K621" s="198"/>
      <c r="L621" s="198"/>
      <c r="M621" s="198"/>
      <c r="N621" s="198"/>
      <c r="O621" s="198"/>
      <c r="P621" s="198"/>
      <c r="Q621" s="198"/>
      <c r="R621" s="198"/>
      <c r="S621" s="198"/>
    </row>
    <row r="622" spans="3:19" x14ac:dyDescent="0.25">
      <c r="C622" s="198"/>
      <c r="D622" s="198"/>
      <c r="E622" s="198"/>
      <c r="F622" s="198"/>
      <c r="G622" s="198"/>
      <c r="H622" s="198"/>
      <c r="I622" s="198"/>
      <c r="J622" s="198"/>
      <c r="K622" s="198"/>
      <c r="L622" s="198"/>
      <c r="M622" s="198"/>
      <c r="N622" s="198"/>
      <c r="O622" s="198"/>
      <c r="P622" s="198"/>
      <c r="Q622" s="198"/>
      <c r="R622" s="198"/>
      <c r="S622" s="198"/>
    </row>
    <row r="623" spans="3:19" x14ac:dyDescent="0.25">
      <c r="C623" s="198"/>
      <c r="D623" s="198"/>
      <c r="E623" s="198"/>
      <c r="F623" s="198"/>
      <c r="G623" s="198"/>
      <c r="H623" s="198"/>
      <c r="I623" s="198"/>
      <c r="J623" s="198"/>
      <c r="K623" s="198"/>
      <c r="L623" s="198"/>
      <c r="M623" s="198"/>
      <c r="N623" s="198"/>
      <c r="O623" s="198"/>
      <c r="P623" s="198"/>
      <c r="Q623" s="198"/>
      <c r="R623" s="198"/>
      <c r="S623" s="198"/>
    </row>
    <row r="624" spans="3:19" x14ac:dyDescent="0.25">
      <c r="C624" s="198"/>
      <c r="D624" s="198"/>
      <c r="E624" s="198"/>
      <c r="F624" s="198"/>
      <c r="G624" s="198"/>
      <c r="H624" s="198"/>
      <c r="I624" s="198"/>
      <c r="J624" s="198"/>
      <c r="K624" s="198"/>
      <c r="L624" s="198"/>
      <c r="M624" s="198"/>
      <c r="N624" s="198"/>
      <c r="O624" s="198"/>
      <c r="P624" s="198"/>
      <c r="Q624" s="198"/>
      <c r="R624" s="198"/>
      <c r="S624" s="198"/>
    </row>
    <row r="625" spans="3:19" x14ac:dyDescent="0.25">
      <c r="C625" s="198"/>
      <c r="D625" s="198"/>
      <c r="E625" s="198"/>
      <c r="F625" s="198"/>
      <c r="G625" s="198"/>
      <c r="H625" s="198"/>
      <c r="I625" s="198"/>
      <c r="J625" s="198"/>
      <c r="K625" s="198"/>
      <c r="L625" s="198"/>
      <c r="M625" s="198"/>
      <c r="N625" s="198"/>
      <c r="O625" s="198"/>
      <c r="P625" s="198"/>
      <c r="Q625" s="198"/>
      <c r="R625" s="198"/>
      <c r="S625" s="198"/>
    </row>
    <row r="626" spans="3:19" x14ac:dyDescent="0.25">
      <c r="C626" s="198"/>
      <c r="D626" s="198"/>
      <c r="E626" s="198"/>
      <c r="F626" s="198"/>
      <c r="G626" s="198"/>
      <c r="H626" s="198"/>
      <c r="I626" s="198"/>
      <c r="J626" s="198"/>
      <c r="K626" s="198"/>
      <c r="L626" s="198"/>
      <c r="M626" s="198"/>
      <c r="N626" s="198"/>
      <c r="O626" s="198"/>
      <c r="P626" s="198"/>
      <c r="Q626" s="198"/>
      <c r="R626" s="198"/>
      <c r="S626" s="198"/>
    </row>
    <row r="627" spans="3:19" x14ac:dyDescent="0.25">
      <c r="C627" s="198"/>
      <c r="D627" s="198"/>
      <c r="E627" s="198"/>
      <c r="F627" s="198"/>
      <c r="G627" s="198"/>
      <c r="H627" s="198"/>
      <c r="I627" s="198"/>
      <c r="J627" s="198"/>
      <c r="K627" s="198"/>
      <c r="L627" s="198"/>
      <c r="M627" s="198"/>
      <c r="N627" s="198"/>
      <c r="O627" s="198"/>
      <c r="P627" s="198"/>
      <c r="Q627" s="198"/>
      <c r="R627" s="198"/>
      <c r="S627" s="198"/>
    </row>
    <row r="628" spans="3:19" x14ac:dyDescent="0.25">
      <c r="C628" s="198"/>
      <c r="D628" s="198"/>
      <c r="E628" s="198"/>
      <c r="F628" s="198"/>
      <c r="G628" s="198"/>
      <c r="H628" s="198"/>
      <c r="I628" s="198"/>
      <c r="J628" s="198"/>
      <c r="K628" s="198"/>
      <c r="L628" s="198"/>
      <c r="M628" s="198"/>
      <c r="N628" s="198"/>
      <c r="O628" s="198"/>
      <c r="P628" s="198"/>
      <c r="Q628" s="198"/>
      <c r="R628" s="198"/>
      <c r="S628" s="198"/>
    </row>
    <row r="629" spans="3:19" x14ac:dyDescent="0.25">
      <c r="C629" s="198"/>
      <c r="D629" s="198"/>
      <c r="E629" s="198"/>
      <c r="F629" s="198"/>
      <c r="G629" s="198"/>
      <c r="H629" s="198"/>
      <c r="I629" s="198"/>
      <c r="J629" s="198"/>
      <c r="K629" s="198"/>
      <c r="L629" s="198"/>
      <c r="M629" s="198"/>
      <c r="N629" s="198"/>
      <c r="O629" s="198"/>
      <c r="P629" s="198"/>
      <c r="Q629" s="198"/>
      <c r="R629" s="198"/>
      <c r="S629" s="198"/>
    </row>
    <row r="630" spans="3:19" x14ac:dyDescent="0.25">
      <c r="C630" s="198"/>
      <c r="D630" s="198"/>
      <c r="E630" s="198"/>
      <c r="F630" s="198"/>
      <c r="G630" s="198"/>
      <c r="H630" s="198"/>
      <c r="I630" s="198"/>
      <c r="J630" s="198"/>
      <c r="K630" s="198"/>
      <c r="L630" s="198"/>
      <c r="M630" s="198"/>
      <c r="N630" s="198"/>
      <c r="O630" s="198"/>
      <c r="P630" s="198"/>
      <c r="Q630" s="198"/>
      <c r="R630" s="198"/>
      <c r="S630" s="198"/>
    </row>
    <row r="631" spans="3:19" x14ac:dyDescent="0.25">
      <c r="C631" s="198"/>
      <c r="D631" s="198"/>
      <c r="E631" s="198"/>
      <c r="F631" s="198"/>
      <c r="G631" s="198"/>
      <c r="H631" s="198"/>
      <c r="I631" s="198"/>
      <c r="J631" s="198"/>
      <c r="K631" s="198"/>
      <c r="L631" s="198"/>
      <c r="M631" s="198"/>
      <c r="N631" s="198"/>
      <c r="O631" s="198"/>
      <c r="P631" s="198"/>
      <c r="Q631" s="198"/>
      <c r="R631" s="198"/>
      <c r="S631" s="198"/>
    </row>
    <row r="632" spans="3:19" x14ac:dyDescent="0.25">
      <c r="C632" s="198"/>
      <c r="D632" s="198"/>
      <c r="E632" s="198"/>
      <c r="F632" s="198"/>
      <c r="G632" s="198"/>
      <c r="H632" s="198"/>
      <c r="I632" s="198"/>
      <c r="J632" s="198"/>
      <c r="K632" s="198"/>
      <c r="L632" s="198"/>
      <c r="M632" s="198"/>
      <c r="N632" s="198"/>
      <c r="O632" s="198"/>
      <c r="P632" s="198"/>
      <c r="Q632" s="198"/>
      <c r="R632" s="198"/>
      <c r="S632" s="198"/>
    </row>
    <row r="633" spans="3:19" x14ac:dyDescent="0.25">
      <c r="C633" s="198"/>
      <c r="D633" s="198"/>
      <c r="E633" s="198"/>
      <c r="F633" s="198"/>
      <c r="G633" s="198"/>
      <c r="H633" s="198"/>
      <c r="I633" s="198"/>
      <c r="J633" s="198"/>
      <c r="K633" s="198"/>
      <c r="L633" s="198"/>
      <c r="M633" s="198"/>
      <c r="N633" s="198"/>
      <c r="O633" s="198"/>
      <c r="P633" s="198"/>
      <c r="Q633" s="198"/>
      <c r="R633" s="198"/>
      <c r="S633" s="198"/>
    </row>
    <row r="634" spans="3:19" x14ac:dyDescent="0.25">
      <c r="C634" s="198"/>
      <c r="D634" s="198"/>
      <c r="E634" s="198"/>
      <c r="F634" s="198"/>
      <c r="G634" s="198"/>
      <c r="H634" s="198"/>
      <c r="I634" s="198"/>
      <c r="J634" s="198"/>
      <c r="K634" s="198"/>
      <c r="L634" s="198"/>
      <c r="M634" s="198"/>
      <c r="N634" s="198"/>
      <c r="O634" s="198"/>
      <c r="P634" s="198"/>
      <c r="Q634" s="198"/>
      <c r="R634" s="198"/>
      <c r="S634" s="198"/>
    </row>
    <row r="635" spans="3:19" x14ac:dyDescent="0.25">
      <c r="C635" s="198"/>
      <c r="D635" s="198"/>
      <c r="E635" s="198"/>
      <c r="F635" s="198"/>
      <c r="G635" s="198"/>
      <c r="H635" s="198"/>
      <c r="I635" s="198"/>
      <c r="J635" s="198"/>
      <c r="K635" s="198"/>
      <c r="L635" s="198"/>
      <c r="M635" s="198"/>
      <c r="N635" s="198"/>
      <c r="O635" s="198"/>
      <c r="P635" s="198"/>
      <c r="Q635" s="198"/>
      <c r="R635" s="198"/>
      <c r="S635" s="198"/>
    </row>
    <row r="636" spans="3:19" x14ac:dyDescent="0.25">
      <c r="C636" s="198"/>
      <c r="D636" s="198"/>
      <c r="E636" s="198"/>
      <c r="F636" s="198"/>
      <c r="G636" s="198"/>
      <c r="H636" s="198"/>
      <c r="I636" s="198"/>
      <c r="J636" s="198"/>
      <c r="K636" s="198"/>
      <c r="L636" s="198"/>
      <c r="M636" s="198"/>
      <c r="N636" s="198"/>
      <c r="O636" s="198"/>
      <c r="P636" s="198"/>
      <c r="Q636" s="198"/>
      <c r="R636" s="198"/>
      <c r="S636" s="198"/>
    </row>
    <row r="637" spans="3:19" x14ac:dyDescent="0.25">
      <c r="C637" s="198"/>
      <c r="D637" s="198"/>
      <c r="E637" s="198"/>
      <c r="F637" s="198"/>
      <c r="G637" s="198"/>
      <c r="H637" s="198"/>
      <c r="I637" s="198"/>
      <c r="J637" s="198"/>
      <c r="K637" s="198"/>
      <c r="L637" s="198"/>
      <c r="M637" s="198"/>
      <c r="N637" s="198"/>
      <c r="O637" s="198"/>
      <c r="P637" s="198"/>
      <c r="Q637" s="198"/>
      <c r="R637" s="198"/>
      <c r="S637" s="198"/>
    </row>
    <row r="638" spans="3:19" x14ac:dyDescent="0.25">
      <c r="C638" s="198"/>
      <c r="D638" s="198"/>
      <c r="E638" s="198"/>
      <c r="F638" s="198"/>
      <c r="G638" s="198"/>
      <c r="H638" s="198"/>
      <c r="I638" s="198"/>
      <c r="J638" s="198"/>
      <c r="K638" s="198"/>
      <c r="L638" s="198"/>
      <c r="M638" s="198"/>
      <c r="N638" s="198"/>
      <c r="O638" s="198"/>
      <c r="P638" s="198"/>
      <c r="Q638" s="198"/>
      <c r="R638" s="198"/>
      <c r="S638" s="198"/>
    </row>
    <row r="639" spans="3:19" x14ac:dyDescent="0.25">
      <c r="C639" s="198"/>
      <c r="D639" s="198"/>
      <c r="E639" s="198"/>
      <c r="F639" s="198"/>
      <c r="G639" s="198"/>
      <c r="H639" s="198"/>
      <c r="I639" s="198"/>
      <c r="J639" s="198"/>
      <c r="K639" s="198"/>
      <c r="L639" s="198"/>
      <c r="M639" s="198"/>
      <c r="N639" s="198"/>
      <c r="O639" s="198"/>
      <c r="P639" s="198"/>
      <c r="Q639" s="198"/>
      <c r="R639" s="198"/>
      <c r="S639" s="198"/>
    </row>
    <row r="640" spans="3:19" x14ac:dyDescent="0.25">
      <c r="C640" s="198"/>
      <c r="D640" s="198"/>
      <c r="E640" s="198"/>
      <c r="F640" s="198"/>
      <c r="G640" s="198"/>
      <c r="H640" s="198"/>
      <c r="I640" s="198"/>
      <c r="J640" s="198"/>
      <c r="K640" s="198"/>
      <c r="L640" s="198"/>
      <c r="M640" s="198"/>
      <c r="N640" s="198"/>
      <c r="O640" s="198"/>
      <c r="P640" s="198"/>
      <c r="Q640" s="198"/>
      <c r="R640" s="198"/>
      <c r="S640" s="198"/>
    </row>
    <row r="641" spans="3:19" x14ac:dyDescent="0.25">
      <c r="C641" s="198"/>
      <c r="D641" s="198"/>
      <c r="E641" s="198"/>
      <c r="F641" s="198"/>
      <c r="G641" s="198"/>
      <c r="H641" s="198"/>
      <c r="I641" s="198"/>
      <c r="J641" s="198"/>
      <c r="K641" s="198"/>
      <c r="L641" s="198"/>
      <c r="M641" s="198"/>
      <c r="N641" s="198"/>
      <c r="O641" s="198"/>
      <c r="P641" s="198"/>
      <c r="Q641" s="198"/>
      <c r="R641" s="198"/>
      <c r="S641" s="198"/>
    </row>
    <row r="642" spans="3:19" x14ac:dyDescent="0.25">
      <c r="C642" s="198"/>
      <c r="D642" s="198"/>
      <c r="E642" s="198"/>
      <c r="F642" s="198"/>
      <c r="G642" s="198"/>
      <c r="H642" s="198"/>
      <c r="I642" s="198"/>
      <c r="J642" s="198"/>
      <c r="K642" s="198"/>
      <c r="L642" s="198"/>
      <c r="M642" s="198"/>
      <c r="N642" s="198"/>
      <c r="O642" s="198"/>
      <c r="P642" s="198"/>
      <c r="Q642" s="198"/>
      <c r="R642" s="198"/>
      <c r="S642" s="198"/>
    </row>
    <row r="643" spans="3:19" x14ac:dyDescent="0.25">
      <c r="C643" s="198"/>
      <c r="D643" s="198"/>
      <c r="E643" s="198"/>
      <c r="F643" s="198"/>
      <c r="G643" s="198"/>
      <c r="H643" s="198"/>
      <c r="I643" s="198"/>
      <c r="J643" s="198"/>
      <c r="K643" s="198"/>
      <c r="L643" s="198"/>
      <c r="M643" s="198"/>
      <c r="N643" s="198"/>
      <c r="O643" s="198"/>
      <c r="P643" s="198"/>
      <c r="Q643" s="198"/>
      <c r="R643" s="198"/>
      <c r="S643" s="198"/>
    </row>
    <row r="644" spans="3:19" x14ac:dyDescent="0.25">
      <c r="C644" s="198"/>
      <c r="D644" s="198"/>
      <c r="E644" s="198"/>
      <c r="F644" s="198"/>
      <c r="G644" s="198"/>
      <c r="H644" s="198"/>
      <c r="I644" s="198"/>
      <c r="J644" s="198"/>
      <c r="K644" s="198"/>
      <c r="L644" s="198"/>
      <c r="M644" s="198"/>
      <c r="N644" s="198"/>
      <c r="O644" s="198"/>
      <c r="P644" s="198"/>
      <c r="Q644" s="198"/>
      <c r="R644" s="198"/>
      <c r="S644" s="198"/>
    </row>
    <row r="645" spans="3:19" x14ac:dyDescent="0.25">
      <c r="C645" s="198"/>
      <c r="D645" s="198"/>
      <c r="E645" s="198"/>
      <c r="F645" s="198"/>
      <c r="G645" s="198"/>
      <c r="H645" s="198"/>
      <c r="I645" s="198"/>
      <c r="J645" s="198"/>
      <c r="K645" s="198"/>
      <c r="L645" s="198"/>
      <c r="M645" s="198"/>
      <c r="N645" s="198"/>
      <c r="O645" s="198"/>
      <c r="P645" s="198"/>
      <c r="Q645" s="198"/>
      <c r="R645" s="198"/>
      <c r="S645" s="198"/>
    </row>
    <row r="646" spans="3:19" x14ac:dyDescent="0.25">
      <c r="C646" s="198"/>
      <c r="D646" s="198"/>
      <c r="E646" s="198"/>
      <c r="F646" s="198"/>
      <c r="G646" s="198"/>
      <c r="H646" s="198"/>
      <c r="I646" s="198"/>
      <c r="J646" s="198"/>
      <c r="K646" s="198"/>
      <c r="L646" s="198"/>
      <c r="M646" s="198"/>
      <c r="N646" s="198"/>
      <c r="O646" s="198"/>
      <c r="P646" s="198"/>
      <c r="Q646" s="198"/>
      <c r="R646" s="198"/>
      <c r="S646" s="198"/>
    </row>
    <row r="647" spans="3:19" x14ac:dyDescent="0.25">
      <c r="C647" s="198"/>
      <c r="D647" s="198"/>
      <c r="E647" s="198"/>
      <c r="F647" s="198"/>
      <c r="G647" s="198"/>
      <c r="H647" s="198"/>
      <c r="I647" s="198"/>
      <c r="J647" s="198"/>
      <c r="K647" s="198"/>
      <c r="L647" s="198"/>
      <c r="M647" s="198"/>
      <c r="N647" s="198"/>
      <c r="O647" s="198"/>
      <c r="P647" s="198"/>
      <c r="Q647" s="198"/>
      <c r="R647" s="198"/>
      <c r="S647" s="198"/>
    </row>
    <row r="648" spans="3:19" x14ac:dyDescent="0.25">
      <c r="C648" s="198"/>
      <c r="D648" s="198"/>
      <c r="E648" s="198"/>
      <c r="F648" s="198"/>
      <c r="G648" s="198"/>
      <c r="H648" s="198"/>
      <c r="I648" s="198"/>
      <c r="J648" s="198"/>
      <c r="K648" s="198"/>
      <c r="L648" s="198"/>
      <c r="M648" s="198"/>
      <c r="N648" s="198"/>
      <c r="O648" s="198"/>
      <c r="P648" s="198"/>
      <c r="Q648" s="198"/>
      <c r="R648" s="198"/>
      <c r="S648" s="198"/>
    </row>
    <row r="649" spans="3:19" x14ac:dyDescent="0.25">
      <c r="C649" s="198"/>
      <c r="D649" s="198"/>
      <c r="E649" s="198"/>
      <c r="F649" s="198"/>
      <c r="G649" s="198"/>
      <c r="H649" s="198"/>
      <c r="I649" s="198"/>
      <c r="J649" s="198"/>
      <c r="K649" s="198"/>
      <c r="L649" s="198"/>
      <c r="M649" s="198"/>
      <c r="N649" s="198"/>
      <c r="O649" s="198"/>
      <c r="P649" s="198"/>
      <c r="Q649" s="198"/>
      <c r="R649" s="198"/>
      <c r="S649" s="198"/>
    </row>
    <row r="650" spans="3:19" x14ac:dyDescent="0.25">
      <c r="C650" s="198"/>
      <c r="D650" s="198"/>
      <c r="E650" s="198"/>
      <c r="F650" s="198"/>
      <c r="G650" s="198"/>
      <c r="H650" s="198"/>
      <c r="I650" s="198"/>
      <c r="J650" s="198"/>
      <c r="K650" s="198"/>
      <c r="L650" s="198"/>
      <c r="M650" s="198"/>
      <c r="N650" s="198"/>
      <c r="O650" s="198"/>
      <c r="P650" s="198"/>
      <c r="Q650" s="198"/>
      <c r="R650" s="198"/>
      <c r="S650" s="198"/>
    </row>
    <row r="651" spans="3:19" x14ac:dyDescent="0.25">
      <c r="C651" s="198"/>
      <c r="D651" s="198"/>
      <c r="E651" s="198"/>
      <c r="F651" s="198"/>
      <c r="G651" s="198"/>
      <c r="H651" s="198"/>
      <c r="I651" s="198"/>
      <c r="J651" s="198"/>
      <c r="K651" s="198"/>
      <c r="L651" s="198"/>
      <c r="M651" s="198"/>
      <c r="N651" s="198"/>
      <c r="O651" s="198"/>
      <c r="P651" s="198"/>
      <c r="Q651" s="198"/>
      <c r="R651" s="198"/>
      <c r="S651" s="198"/>
    </row>
    <row r="652" spans="3:19" x14ac:dyDescent="0.25">
      <c r="C652" s="198"/>
      <c r="D652" s="198"/>
      <c r="E652" s="198"/>
      <c r="F652" s="198"/>
      <c r="G652" s="198"/>
      <c r="H652" s="198"/>
      <c r="I652" s="198"/>
      <c r="J652" s="198"/>
      <c r="K652" s="198"/>
      <c r="L652" s="198"/>
      <c r="M652" s="198"/>
      <c r="N652" s="198"/>
      <c r="O652" s="198"/>
      <c r="P652" s="198"/>
      <c r="Q652" s="198"/>
      <c r="R652" s="198"/>
      <c r="S652" s="198"/>
    </row>
    <row r="653" spans="3:19" x14ac:dyDescent="0.25">
      <c r="C653" s="198"/>
      <c r="D653" s="198"/>
      <c r="E653" s="198"/>
      <c r="F653" s="198"/>
      <c r="G653" s="198"/>
      <c r="H653" s="198"/>
      <c r="I653" s="198"/>
      <c r="J653" s="198"/>
      <c r="K653" s="198"/>
      <c r="L653" s="198"/>
      <c r="M653" s="198"/>
      <c r="N653" s="198"/>
      <c r="O653" s="198"/>
      <c r="P653" s="198"/>
      <c r="Q653" s="198"/>
      <c r="R653" s="198"/>
      <c r="S653" s="198"/>
    </row>
    <row r="654" spans="3:19" x14ac:dyDescent="0.25">
      <c r="C654" s="198"/>
      <c r="D654" s="198"/>
      <c r="E654" s="198"/>
      <c r="F654" s="198"/>
      <c r="G654" s="198"/>
      <c r="H654" s="198"/>
      <c r="I654" s="198"/>
      <c r="J654" s="198"/>
      <c r="K654" s="198"/>
      <c r="L654" s="198"/>
      <c r="M654" s="198"/>
      <c r="N654" s="198"/>
      <c r="O654" s="198"/>
      <c r="P654" s="198"/>
      <c r="Q654" s="198"/>
      <c r="R654" s="198"/>
      <c r="S654" s="198"/>
    </row>
    <row r="655" spans="3:19" x14ac:dyDescent="0.25">
      <c r="C655" s="198"/>
      <c r="D655" s="198"/>
      <c r="E655" s="198"/>
      <c r="F655" s="198"/>
      <c r="G655" s="198"/>
      <c r="H655" s="198"/>
      <c r="I655" s="198"/>
      <c r="J655" s="198"/>
      <c r="K655" s="198"/>
      <c r="L655" s="198"/>
      <c r="M655" s="198"/>
      <c r="N655" s="198"/>
      <c r="O655" s="198"/>
      <c r="P655" s="198"/>
      <c r="Q655" s="198"/>
      <c r="R655" s="198"/>
      <c r="S655" s="198"/>
    </row>
    <row r="656" spans="3:19" x14ac:dyDescent="0.25">
      <c r="C656" s="198"/>
      <c r="D656" s="198"/>
      <c r="E656" s="198"/>
      <c r="F656" s="198"/>
      <c r="G656" s="198"/>
      <c r="H656" s="198"/>
      <c r="I656" s="198"/>
      <c r="J656" s="198"/>
      <c r="K656" s="198"/>
      <c r="L656" s="198"/>
      <c r="M656" s="198"/>
      <c r="N656" s="198"/>
      <c r="O656" s="198"/>
      <c r="P656" s="198"/>
      <c r="Q656" s="198"/>
      <c r="R656" s="198"/>
      <c r="S656" s="198"/>
    </row>
    <row r="657" spans="3:19" x14ac:dyDescent="0.25">
      <c r="C657" s="198"/>
      <c r="D657" s="198"/>
      <c r="E657" s="198"/>
      <c r="F657" s="198"/>
      <c r="G657" s="198"/>
      <c r="H657" s="198"/>
      <c r="I657" s="198"/>
      <c r="J657" s="198"/>
      <c r="K657" s="198"/>
      <c r="L657" s="198"/>
      <c r="M657" s="198"/>
      <c r="N657" s="198"/>
      <c r="O657" s="198"/>
      <c r="P657" s="198"/>
      <c r="Q657" s="198"/>
      <c r="R657" s="198"/>
      <c r="S657" s="198"/>
    </row>
    <row r="658" spans="3:19" x14ac:dyDescent="0.25">
      <c r="C658" s="198"/>
      <c r="D658" s="198"/>
      <c r="E658" s="198"/>
      <c r="F658" s="198"/>
      <c r="G658" s="198"/>
      <c r="H658" s="198"/>
      <c r="I658" s="198"/>
      <c r="J658" s="198"/>
      <c r="K658" s="198"/>
      <c r="L658" s="198"/>
      <c r="M658" s="198"/>
      <c r="N658" s="198"/>
      <c r="O658" s="198"/>
      <c r="P658" s="198"/>
      <c r="Q658" s="198"/>
      <c r="R658" s="198"/>
      <c r="S658" s="198"/>
    </row>
    <row r="659" spans="3:19" x14ac:dyDescent="0.25">
      <c r="C659" s="198"/>
      <c r="D659" s="198"/>
      <c r="E659" s="198"/>
      <c r="F659" s="198"/>
      <c r="G659" s="198"/>
      <c r="H659" s="198"/>
      <c r="I659" s="198"/>
      <c r="J659" s="198"/>
      <c r="K659" s="198"/>
      <c r="L659" s="198"/>
      <c r="M659" s="198"/>
      <c r="N659" s="198"/>
      <c r="O659" s="198"/>
      <c r="P659" s="198"/>
      <c r="Q659" s="198"/>
      <c r="R659" s="198"/>
      <c r="S659" s="198"/>
    </row>
    <row r="660" spans="3:19" x14ac:dyDescent="0.25">
      <c r="C660" s="198"/>
      <c r="D660" s="198"/>
      <c r="E660" s="198"/>
      <c r="F660" s="198"/>
      <c r="G660" s="198"/>
      <c r="H660" s="198"/>
      <c r="I660" s="198"/>
      <c r="J660" s="198"/>
      <c r="K660" s="198"/>
      <c r="L660" s="198"/>
      <c r="M660" s="198"/>
      <c r="N660" s="198"/>
      <c r="O660" s="198"/>
      <c r="P660" s="198"/>
      <c r="Q660" s="198"/>
      <c r="R660" s="198"/>
      <c r="S660" s="198"/>
    </row>
    <row r="661" spans="3:19" x14ac:dyDescent="0.25">
      <c r="C661" s="198"/>
      <c r="D661" s="198"/>
      <c r="E661" s="198"/>
      <c r="F661" s="198"/>
      <c r="G661" s="198"/>
      <c r="H661" s="198"/>
      <c r="I661" s="198"/>
      <c r="J661" s="198"/>
      <c r="K661" s="198"/>
      <c r="L661" s="198"/>
      <c r="M661" s="198"/>
      <c r="N661" s="198"/>
      <c r="O661" s="198"/>
      <c r="P661" s="198"/>
      <c r="Q661" s="198"/>
      <c r="R661" s="198"/>
      <c r="S661" s="198"/>
    </row>
    <row r="662" spans="3:19" x14ac:dyDescent="0.25">
      <c r="C662" s="198"/>
      <c r="D662" s="198"/>
      <c r="E662" s="198"/>
      <c r="F662" s="198"/>
      <c r="G662" s="198"/>
      <c r="H662" s="198"/>
      <c r="I662" s="198"/>
      <c r="J662" s="198"/>
      <c r="K662" s="198"/>
      <c r="L662" s="198"/>
      <c r="M662" s="198"/>
      <c r="N662" s="198"/>
      <c r="O662" s="198"/>
      <c r="P662" s="198"/>
      <c r="Q662" s="198"/>
      <c r="R662" s="198"/>
      <c r="S662" s="198"/>
    </row>
    <row r="663" spans="3:19" x14ac:dyDescent="0.25">
      <c r="C663" s="198"/>
      <c r="D663" s="198"/>
      <c r="E663" s="198"/>
      <c r="F663" s="198"/>
      <c r="G663" s="198"/>
      <c r="H663" s="198"/>
      <c r="I663" s="198"/>
      <c r="J663" s="198"/>
      <c r="K663" s="198"/>
      <c r="L663" s="198"/>
      <c r="M663" s="198"/>
      <c r="N663" s="198"/>
      <c r="O663" s="198"/>
      <c r="P663" s="198"/>
      <c r="Q663" s="198"/>
      <c r="R663" s="198"/>
      <c r="S663" s="198"/>
    </row>
    <row r="664" spans="3:19" x14ac:dyDescent="0.25">
      <c r="C664" s="198"/>
      <c r="D664" s="198"/>
      <c r="E664" s="198"/>
      <c r="F664" s="198"/>
      <c r="G664" s="198"/>
      <c r="H664" s="198"/>
      <c r="I664" s="198"/>
      <c r="J664" s="198"/>
      <c r="K664" s="198"/>
      <c r="L664" s="198"/>
      <c r="M664" s="198"/>
      <c r="N664" s="198"/>
      <c r="O664" s="198"/>
      <c r="P664" s="198"/>
      <c r="Q664" s="198"/>
      <c r="R664" s="198"/>
      <c r="S664" s="198"/>
    </row>
    <row r="665" spans="3:19" x14ac:dyDescent="0.25">
      <c r="C665" s="198"/>
      <c r="D665" s="198"/>
      <c r="E665" s="198"/>
      <c r="F665" s="198"/>
      <c r="G665" s="198"/>
      <c r="H665" s="198"/>
      <c r="I665" s="198"/>
      <c r="J665" s="198"/>
      <c r="K665" s="198"/>
      <c r="L665" s="198"/>
      <c r="M665" s="198"/>
      <c r="N665" s="198"/>
      <c r="O665" s="198"/>
      <c r="P665" s="198"/>
      <c r="Q665" s="198"/>
      <c r="R665" s="198"/>
      <c r="S665" s="198"/>
    </row>
    <row r="666" spans="3:19" x14ac:dyDescent="0.25">
      <c r="C666" s="198"/>
      <c r="D666" s="198"/>
      <c r="E666" s="198"/>
      <c r="F666" s="198"/>
      <c r="G666" s="198"/>
      <c r="H666" s="198"/>
      <c r="I666" s="198"/>
      <c r="J666" s="198"/>
      <c r="K666" s="198"/>
      <c r="L666" s="198"/>
      <c r="M666" s="198"/>
      <c r="N666" s="198"/>
      <c r="O666" s="198"/>
      <c r="P666" s="198"/>
      <c r="Q666" s="198"/>
      <c r="R666" s="198"/>
      <c r="S666" s="198"/>
    </row>
    <row r="667" spans="3:19" x14ac:dyDescent="0.25">
      <c r="C667" s="198"/>
      <c r="D667" s="198"/>
      <c r="E667" s="198"/>
      <c r="F667" s="198"/>
      <c r="G667" s="198"/>
      <c r="H667" s="198"/>
      <c r="I667" s="198"/>
      <c r="J667" s="198"/>
      <c r="K667" s="198"/>
      <c r="L667" s="198"/>
      <c r="M667" s="198"/>
      <c r="N667" s="198"/>
      <c r="O667" s="198"/>
      <c r="P667" s="198"/>
      <c r="Q667" s="198"/>
      <c r="R667" s="198"/>
      <c r="S667" s="198"/>
    </row>
    <row r="668" spans="3:19" x14ac:dyDescent="0.25">
      <c r="C668" s="198"/>
      <c r="D668" s="198"/>
      <c r="E668" s="198"/>
      <c r="F668" s="198"/>
      <c r="G668" s="198"/>
      <c r="H668" s="198"/>
      <c r="I668" s="198"/>
      <c r="J668" s="198"/>
      <c r="K668" s="198"/>
      <c r="L668" s="198"/>
      <c r="M668" s="198"/>
      <c r="N668" s="198"/>
      <c r="O668" s="198"/>
      <c r="P668" s="198"/>
      <c r="Q668" s="198"/>
      <c r="R668" s="198"/>
      <c r="S668" s="198"/>
    </row>
    <row r="669" spans="3:19" x14ac:dyDescent="0.25">
      <c r="C669" s="198"/>
      <c r="D669" s="198"/>
      <c r="E669" s="198"/>
      <c r="F669" s="198"/>
      <c r="G669" s="198"/>
      <c r="H669" s="198"/>
      <c r="I669" s="198"/>
      <c r="J669" s="198"/>
      <c r="K669" s="198"/>
      <c r="L669" s="198"/>
      <c r="M669" s="198"/>
      <c r="N669" s="198"/>
      <c r="O669" s="198"/>
      <c r="P669" s="198"/>
      <c r="Q669" s="198"/>
      <c r="R669" s="198"/>
      <c r="S669" s="198"/>
    </row>
    <row r="670" spans="3:19" x14ac:dyDescent="0.25">
      <c r="C670" s="198"/>
      <c r="D670" s="198"/>
      <c r="E670" s="198"/>
      <c r="F670" s="198"/>
      <c r="G670" s="198"/>
      <c r="H670" s="198"/>
      <c r="I670" s="198"/>
      <c r="J670" s="198"/>
      <c r="K670" s="198"/>
      <c r="L670" s="198"/>
      <c r="M670" s="198"/>
      <c r="N670" s="198"/>
      <c r="O670" s="198"/>
      <c r="P670" s="198"/>
      <c r="Q670" s="198"/>
      <c r="R670" s="198"/>
      <c r="S670" s="198"/>
    </row>
    <row r="671" spans="3:19" x14ac:dyDescent="0.25">
      <c r="C671" s="198"/>
      <c r="D671" s="198"/>
      <c r="E671" s="198"/>
      <c r="F671" s="198"/>
      <c r="G671" s="198"/>
      <c r="H671" s="198"/>
      <c r="I671" s="198"/>
      <c r="J671" s="198"/>
      <c r="K671" s="198"/>
      <c r="L671" s="198"/>
      <c r="M671" s="198"/>
      <c r="N671" s="198"/>
      <c r="O671" s="198"/>
      <c r="P671" s="198"/>
      <c r="Q671" s="198"/>
      <c r="R671" s="198"/>
      <c r="S671" s="198"/>
    </row>
    <row r="672" spans="3:19" x14ac:dyDescent="0.25">
      <c r="C672" s="198"/>
      <c r="D672" s="198"/>
      <c r="E672" s="198"/>
      <c r="F672" s="198"/>
      <c r="G672" s="198"/>
      <c r="H672" s="198"/>
      <c r="I672" s="198"/>
      <c r="J672" s="198"/>
      <c r="K672" s="198"/>
      <c r="L672" s="198"/>
      <c r="M672" s="198"/>
      <c r="N672" s="198"/>
      <c r="O672" s="198"/>
      <c r="P672" s="198"/>
      <c r="Q672" s="198"/>
      <c r="R672" s="198"/>
      <c r="S672" s="198"/>
    </row>
    <row r="673" spans="3:19" x14ac:dyDescent="0.25">
      <c r="C673" s="198"/>
      <c r="D673" s="198"/>
      <c r="E673" s="198"/>
      <c r="F673" s="198"/>
      <c r="G673" s="198"/>
      <c r="H673" s="198"/>
      <c r="I673" s="198"/>
      <c r="J673" s="198"/>
      <c r="K673" s="198"/>
      <c r="L673" s="198"/>
      <c r="M673" s="198"/>
      <c r="N673" s="198"/>
      <c r="O673" s="198"/>
      <c r="P673" s="198"/>
      <c r="Q673" s="198"/>
      <c r="R673" s="198"/>
      <c r="S673" s="198"/>
    </row>
    <row r="674" spans="3:19" x14ac:dyDescent="0.25">
      <c r="C674" s="198"/>
      <c r="D674" s="198"/>
      <c r="E674" s="198"/>
      <c r="F674" s="198"/>
      <c r="G674" s="198"/>
      <c r="H674" s="198"/>
      <c r="I674" s="198"/>
      <c r="J674" s="198"/>
      <c r="K674" s="198"/>
      <c r="L674" s="198"/>
      <c r="M674" s="198"/>
      <c r="N674" s="198"/>
      <c r="O674" s="198"/>
      <c r="P674" s="198"/>
      <c r="Q674" s="198"/>
      <c r="R674" s="198"/>
      <c r="S674" s="198"/>
    </row>
    <row r="675" spans="3:19" x14ac:dyDescent="0.25">
      <c r="C675" s="198"/>
      <c r="D675" s="198"/>
      <c r="E675" s="198"/>
      <c r="F675" s="198"/>
      <c r="G675" s="198"/>
      <c r="H675" s="198"/>
      <c r="I675" s="198"/>
      <c r="J675" s="198"/>
      <c r="K675" s="198"/>
      <c r="L675" s="198"/>
      <c r="M675" s="198"/>
      <c r="N675" s="198"/>
      <c r="O675" s="198"/>
      <c r="P675" s="198"/>
      <c r="Q675" s="198"/>
      <c r="R675" s="198"/>
      <c r="S675" s="198"/>
    </row>
    <row r="676" spans="3:19" x14ac:dyDescent="0.25">
      <c r="C676" s="198"/>
      <c r="D676" s="198"/>
      <c r="E676" s="198"/>
      <c r="F676" s="198"/>
      <c r="G676" s="198"/>
      <c r="H676" s="198"/>
      <c r="I676" s="198"/>
      <c r="J676" s="198"/>
      <c r="K676" s="198"/>
      <c r="L676" s="198"/>
      <c r="M676" s="198"/>
      <c r="N676" s="198"/>
      <c r="O676" s="198"/>
      <c r="P676" s="198"/>
      <c r="Q676" s="198"/>
      <c r="R676" s="198"/>
      <c r="S676" s="198"/>
    </row>
    <row r="677" spans="3:19" x14ac:dyDescent="0.25">
      <c r="C677" s="198"/>
      <c r="D677" s="198"/>
      <c r="E677" s="198"/>
      <c r="F677" s="198"/>
      <c r="G677" s="198"/>
      <c r="H677" s="198"/>
      <c r="I677" s="198"/>
      <c r="J677" s="198"/>
      <c r="K677" s="198"/>
      <c r="L677" s="198"/>
      <c r="M677" s="198"/>
      <c r="N677" s="198"/>
      <c r="O677" s="198"/>
      <c r="P677" s="198"/>
      <c r="Q677" s="198"/>
      <c r="R677" s="198"/>
      <c r="S677" s="198"/>
    </row>
    <row r="678" spans="3:19" x14ac:dyDescent="0.25">
      <c r="C678" s="198"/>
      <c r="D678" s="198"/>
      <c r="E678" s="198"/>
      <c r="F678" s="198"/>
      <c r="G678" s="198"/>
      <c r="H678" s="198"/>
      <c r="I678" s="198"/>
      <c r="J678" s="198"/>
      <c r="K678" s="198"/>
      <c r="L678" s="198"/>
      <c r="M678" s="198"/>
      <c r="N678" s="198"/>
      <c r="O678" s="198"/>
      <c r="P678" s="198"/>
      <c r="Q678" s="198"/>
      <c r="R678" s="198"/>
      <c r="S678" s="198"/>
    </row>
    <row r="679" spans="3:19" x14ac:dyDescent="0.25">
      <c r="C679" s="198"/>
      <c r="D679" s="198"/>
      <c r="E679" s="198"/>
      <c r="F679" s="198"/>
      <c r="G679" s="198"/>
      <c r="H679" s="198"/>
      <c r="I679" s="198"/>
      <c r="J679" s="198"/>
      <c r="K679" s="198"/>
      <c r="L679" s="198"/>
      <c r="M679" s="198"/>
      <c r="N679" s="198"/>
      <c r="O679" s="198"/>
      <c r="P679" s="198"/>
      <c r="Q679" s="198"/>
      <c r="R679" s="198"/>
      <c r="S679" s="198"/>
    </row>
    <row r="680" spans="3:19" x14ac:dyDescent="0.25">
      <c r="C680" s="198"/>
      <c r="D680" s="198"/>
      <c r="E680" s="198"/>
      <c r="F680" s="198"/>
      <c r="G680" s="198"/>
      <c r="H680" s="198"/>
      <c r="I680" s="198"/>
      <c r="J680" s="198"/>
      <c r="K680" s="198"/>
      <c r="L680" s="198"/>
      <c r="M680" s="198"/>
      <c r="N680" s="198"/>
      <c r="O680" s="198"/>
      <c r="P680" s="198"/>
      <c r="Q680" s="198"/>
      <c r="R680" s="198"/>
      <c r="S680" s="198"/>
    </row>
    <row r="681" spans="3:19" x14ac:dyDescent="0.25">
      <c r="C681" s="198"/>
      <c r="D681" s="198"/>
      <c r="E681" s="198"/>
      <c r="F681" s="198"/>
      <c r="G681" s="198"/>
      <c r="H681" s="198"/>
      <c r="I681" s="198"/>
      <c r="J681" s="198"/>
      <c r="K681" s="198"/>
      <c r="L681" s="198"/>
      <c r="M681" s="198"/>
      <c r="N681" s="198"/>
      <c r="O681" s="198"/>
      <c r="P681" s="198"/>
      <c r="Q681" s="198"/>
      <c r="R681" s="198"/>
      <c r="S681" s="198"/>
    </row>
    <row r="682" spans="3:19" x14ac:dyDescent="0.25">
      <c r="C682" s="198"/>
      <c r="D682" s="198"/>
      <c r="E682" s="198"/>
      <c r="F682" s="198"/>
      <c r="G682" s="198"/>
      <c r="H682" s="198"/>
      <c r="I682" s="198"/>
      <c r="J682" s="198"/>
      <c r="K682" s="198"/>
      <c r="L682" s="198"/>
      <c r="M682" s="198"/>
      <c r="N682" s="198"/>
      <c r="O682" s="198"/>
      <c r="P682" s="198"/>
      <c r="Q682" s="198"/>
      <c r="R682" s="198"/>
      <c r="S682" s="198"/>
    </row>
    <row r="683" spans="3:19" x14ac:dyDescent="0.25">
      <c r="C683" s="198"/>
      <c r="D683" s="198"/>
      <c r="E683" s="198"/>
      <c r="F683" s="198"/>
      <c r="G683" s="198"/>
      <c r="H683" s="198"/>
      <c r="I683" s="198"/>
      <c r="J683" s="198"/>
      <c r="K683" s="198"/>
      <c r="L683" s="198"/>
      <c r="M683" s="198"/>
      <c r="N683" s="198"/>
      <c r="O683" s="198"/>
      <c r="P683" s="198"/>
      <c r="Q683" s="198"/>
      <c r="R683" s="198"/>
      <c r="S683" s="198"/>
    </row>
    <row r="684" spans="3:19" x14ac:dyDescent="0.25">
      <c r="C684" s="198"/>
      <c r="D684" s="198"/>
      <c r="E684" s="198"/>
      <c r="F684" s="198"/>
      <c r="G684" s="198"/>
      <c r="H684" s="198"/>
      <c r="I684" s="198"/>
      <c r="J684" s="198"/>
      <c r="K684" s="198"/>
      <c r="L684" s="198"/>
      <c r="M684" s="198"/>
      <c r="N684" s="198"/>
      <c r="O684" s="198"/>
      <c r="P684" s="198"/>
      <c r="Q684" s="198"/>
      <c r="R684" s="198"/>
      <c r="S684" s="198"/>
    </row>
    <row r="685" spans="3:19" x14ac:dyDescent="0.25">
      <c r="C685" s="198"/>
      <c r="D685" s="198"/>
      <c r="E685" s="198"/>
      <c r="F685" s="198"/>
      <c r="G685" s="198"/>
      <c r="H685" s="198"/>
      <c r="I685" s="198"/>
      <c r="J685" s="198"/>
      <c r="K685" s="198"/>
      <c r="L685" s="198"/>
      <c r="M685" s="198"/>
      <c r="N685" s="198"/>
      <c r="O685" s="198"/>
      <c r="P685" s="198"/>
      <c r="Q685" s="198"/>
      <c r="R685" s="198"/>
      <c r="S685" s="198"/>
    </row>
    <row r="686" spans="3:19" x14ac:dyDescent="0.25">
      <c r="C686" s="198"/>
      <c r="D686" s="198"/>
      <c r="E686" s="198"/>
      <c r="F686" s="198"/>
      <c r="G686" s="198"/>
      <c r="H686" s="198"/>
      <c r="I686" s="198"/>
      <c r="J686" s="198"/>
      <c r="K686" s="198"/>
      <c r="L686" s="198"/>
      <c r="M686" s="198"/>
      <c r="N686" s="198"/>
      <c r="O686" s="198"/>
      <c r="P686" s="198"/>
      <c r="Q686" s="198"/>
      <c r="R686" s="198"/>
      <c r="S686" s="198"/>
    </row>
    <row r="687" spans="3:19" x14ac:dyDescent="0.25">
      <c r="C687" s="198"/>
      <c r="D687" s="198"/>
      <c r="E687" s="198"/>
      <c r="F687" s="198"/>
      <c r="G687" s="198"/>
      <c r="H687" s="198"/>
      <c r="I687" s="198"/>
      <c r="J687" s="198"/>
      <c r="K687" s="198"/>
      <c r="L687" s="198"/>
      <c r="M687" s="198"/>
      <c r="N687" s="198"/>
      <c r="O687" s="198"/>
      <c r="P687" s="198"/>
      <c r="Q687" s="198"/>
      <c r="R687" s="198"/>
      <c r="S687" s="198"/>
    </row>
    <row r="688" spans="3:19" x14ac:dyDescent="0.25">
      <c r="C688" s="198"/>
      <c r="D688" s="198"/>
      <c r="E688" s="198"/>
      <c r="F688" s="198"/>
      <c r="G688" s="198"/>
      <c r="H688" s="198"/>
      <c r="I688" s="198"/>
      <c r="J688" s="198"/>
      <c r="K688" s="198"/>
      <c r="L688" s="198"/>
      <c r="M688" s="198"/>
      <c r="N688" s="198"/>
      <c r="O688" s="198"/>
      <c r="P688" s="198"/>
      <c r="Q688" s="198"/>
      <c r="R688" s="198"/>
      <c r="S688" s="198"/>
    </row>
    <row r="689" spans="3:19" x14ac:dyDescent="0.25">
      <c r="C689" s="198"/>
      <c r="D689" s="198"/>
      <c r="E689" s="198"/>
      <c r="F689" s="198"/>
      <c r="G689" s="198"/>
      <c r="H689" s="198"/>
      <c r="I689" s="198"/>
      <c r="J689" s="198"/>
      <c r="K689" s="198"/>
      <c r="L689" s="198"/>
      <c r="M689" s="198"/>
      <c r="N689" s="198"/>
      <c r="O689" s="198"/>
      <c r="P689" s="198"/>
      <c r="Q689" s="198"/>
      <c r="R689" s="198"/>
      <c r="S689" s="198"/>
    </row>
    <row r="690" spans="3:19" x14ac:dyDescent="0.25">
      <c r="C690" s="198"/>
      <c r="D690" s="198"/>
      <c r="E690" s="198"/>
      <c r="F690" s="198"/>
      <c r="G690" s="198"/>
      <c r="H690" s="198"/>
      <c r="I690" s="198"/>
      <c r="J690" s="198"/>
      <c r="K690" s="198"/>
      <c r="L690" s="198"/>
      <c r="M690" s="198"/>
      <c r="N690" s="198"/>
      <c r="O690" s="198"/>
      <c r="P690" s="198"/>
      <c r="Q690" s="198"/>
      <c r="R690" s="198"/>
      <c r="S690" s="198"/>
    </row>
    <row r="691" spans="3:19" x14ac:dyDescent="0.25">
      <c r="C691" s="198"/>
      <c r="D691" s="198"/>
      <c r="E691" s="198"/>
      <c r="F691" s="198"/>
      <c r="G691" s="198"/>
      <c r="H691" s="198"/>
      <c r="I691" s="198"/>
      <c r="J691" s="198"/>
      <c r="K691" s="198"/>
      <c r="L691" s="198"/>
      <c r="M691" s="198"/>
      <c r="N691" s="198"/>
      <c r="O691" s="198"/>
      <c r="P691" s="198"/>
      <c r="Q691" s="198"/>
      <c r="R691" s="198"/>
      <c r="S691" s="198"/>
    </row>
    <row r="692" spans="3:19" x14ac:dyDescent="0.25">
      <c r="C692" s="198"/>
      <c r="D692" s="198"/>
      <c r="E692" s="198"/>
      <c r="F692" s="198"/>
      <c r="G692" s="198"/>
      <c r="H692" s="198"/>
      <c r="I692" s="198"/>
      <c r="J692" s="198"/>
      <c r="K692" s="198"/>
      <c r="L692" s="198"/>
      <c r="M692" s="198"/>
      <c r="N692" s="198"/>
      <c r="O692" s="198"/>
      <c r="P692" s="198"/>
      <c r="Q692" s="198"/>
      <c r="R692" s="198"/>
      <c r="S692" s="198"/>
    </row>
    <row r="693" spans="3:19" x14ac:dyDescent="0.25">
      <c r="C693" s="198"/>
      <c r="D693" s="198"/>
      <c r="E693" s="198"/>
      <c r="F693" s="198"/>
      <c r="G693" s="198"/>
      <c r="H693" s="198"/>
      <c r="I693" s="198"/>
      <c r="J693" s="198"/>
      <c r="K693" s="198"/>
      <c r="L693" s="198"/>
      <c r="M693" s="198"/>
      <c r="N693" s="198"/>
      <c r="O693" s="198"/>
      <c r="P693" s="198"/>
      <c r="Q693" s="198"/>
      <c r="R693" s="198"/>
      <c r="S693" s="198"/>
    </row>
    <row r="694" spans="3:19" x14ac:dyDescent="0.25">
      <c r="C694" s="198"/>
      <c r="D694" s="198"/>
      <c r="E694" s="198"/>
      <c r="F694" s="198"/>
      <c r="G694" s="198"/>
      <c r="H694" s="198"/>
      <c r="I694" s="198"/>
      <c r="J694" s="198"/>
      <c r="K694" s="198"/>
      <c r="L694" s="198"/>
      <c r="M694" s="198"/>
      <c r="N694" s="198"/>
      <c r="O694" s="198"/>
      <c r="P694" s="198"/>
      <c r="Q694" s="198"/>
      <c r="R694" s="198"/>
      <c r="S694" s="198"/>
    </row>
    <row r="695" spans="3:19" x14ac:dyDescent="0.25">
      <c r="C695" s="198"/>
      <c r="D695" s="198"/>
      <c r="E695" s="198"/>
      <c r="F695" s="198"/>
      <c r="G695" s="198"/>
      <c r="H695" s="198"/>
      <c r="I695" s="198"/>
      <c r="J695" s="198"/>
      <c r="K695" s="198"/>
      <c r="L695" s="198"/>
      <c r="M695" s="198"/>
      <c r="N695" s="198"/>
      <c r="O695" s="198"/>
      <c r="P695" s="198"/>
      <c r="Q695" s="198"/>
      <c r="R695" s="198"/>
      <c r="S695" s="198"/>
    </row>
    <row r="696" spans="3:19" x14ac:dyDescent="0.25">
      <c r="C696" s="198"/>
      <c r="D696" s="198"/>
      <c r="E696" s="198"/>
      <c r="F696" s="198"/>
      <c r="G696" s="198"/>
      <c r="H696" s="198"/>
      <c r="I696" s="198"/>
      <c r="J696" s="198"/>
      <c r="K696" s="198"/>
      <c r="L696" s="198"/>
      <c r="M696" s="198"/>
      <c r="N696" s="198"/>
      <c r="O696" s="198"/>
      <c r="P696" s="198"/>
      <c r="Q696" s="198"/>
      <c r="R696" s="198"/>
      <c r="S696" s="198"/>
    </row>
    <row r="697" spans="3:19" x14ac:dyDescent="0.25">
      <c r="C697" s="198"/>
      <c r="D697" s="198"/>
      <c r="E697" s="198"/>
      <c r="F697" s="198"/>
      <c r="G697" s="198"/>
      <c r="H697" s="198"/>
      <c r="I697" s="198"/>
      <c r="J697" s="198"/>
      <c r="K697" s="198"/>
      <c r="L697" s="198"/>
      <c r="M697" s="198"/>
      <c r="N697" s="198"/>
      <c r="O697" s="198"/>
      <c r="P697" s="198"/>
      <c r="Q697" s="198"/>
      <c r="R697" s="198"/>
      <c r="S697" s="198"/>
    </row>
    <row r="698" spans="3:19" x14ac:dyDescent="0.25">
      <c r="C698" s="198"/>
      <c r="D698" s="198"/>
      <c r="E698" s="198"/>
      <c r="F698" s="198"/>
      <c r="G698" s="198"/>
      <c r="H698" s="198"/>
      <c r="I698" s="198"/>
      <c r="J698" s="198"/>
      <c r="K698" s="198"/>
      <c r="L698" s="198"/>
      <c r="M698" s="198"/>
      <c r="N698" s="198"/>
      <c r="O698" s="198"/>
      <c r="P698" s="198"/>
      <c r="Q698" s="198"/>
      <c r="R698" s="198"/>
      <c r="S698" s="198"/>
    </row>
    <row r="699" spans="3:19" x14ac:dyDescent="0.25">
      <c r="C699" s="198"/>
      <c r="D699" s="198"/>
      <c r="E699" s="198"/>
      <c r="F699" s="198"/>
      <c r="G699" s="198"/>
      <c r="H699" s="198"/>
      <c r="I699" s="198"/>
      <c r="J699" s="198"/>
      <c r="K699" s="198"/>
      <c r="L699" s="198"/>
      <c r="M699" s="198"/>
      <c r="N699" s="198"/>
      <c r="O699" s="198"/>
      <c r="P699" s="198"/>
      <c r="Q699" s="198"/>
      <c r="R699" s="198"/>
      <c r="S699" s="198"/>
    </row>
    <row r="700" spans="3:19" x14ac:dyDescent="0.25">
      <c r="C700" s="198"/>
      <c r="D700" s="198"/>
      <c r="E700" s="198"/>
      <c r="F700" s="198"/>
      <c r="G700" s="198"/>
      <c r="H700" s="198"/>
      <c r="I700" s="198"/>
      <c r="J700" s="198"/>
      <c r="K700" s="198"/>
      <c r="L700" s="198"/>
      <c r="M700" s="198"/>
      <c r="N700" s="198"/>
      <c r="O700" s="198"/>
      <c r="P700" s="198"/>
      <c r="Q700" s="198"/>
      <c r="R700" s="198"/>
      <c r="S700" s="198"/>
    </row>
    <row r="701" spans="3:19" x14ac:dyDescent="0.25">
      <c r="C701" s="198"/>
      <c r="D701" s="198"/>
      <c r="E701" s="198"/>
      <c r="F701" s="198"/>
      <c r="G701" s="198"/>
      <c r="H701" s="198"/>
      <c r="I701" s="198"/>
      <c r="J701" s="198"/>
      <c r="K701" s="198"/>
      <c r="L701" s="198"/>
      <c r="M701" s="198"/>
      <c r="N701" s="198"/>
      <c r="O701" s="198"/>
      <c r="P701" s="198"/>
      <c r="Q701" s="198"/>
      <c r="R701" s="198"/>
      <c r="S701" s="198"/>
    </row>
    <row r="702" spans="3:19" x14ac:dyDescent="0.25">
      <c r="C702" s="198"/>
      <c r="D702" s="198"/>
      <c r="E702" s="198"/>
      <c r="F702" s="198"/>
      <c r="G702" s="198"/>
      <c r="H702" s="198"/>
      <c r="I702" s="198"/>
      <c r="J702" s="198"/>
      <c r="K702" s="198"/>
      <c r="L702" s="198"/>
      <c r="M702" s="198"/>
      <c r="N702" s="198"/>
      <c r="O702" s="198"/>
      <c r="P702" s="198"/>
      <c r="Q702" s="198"/>
      <c r="R702" s="198"/>
      <c r="S702" s="198"/>
    </row>
    <row r="703" spans="3:19" x14ac:dyDescent="0.25">
      <c r="C703" s="198"/>
      <c r="D703" s="198"/>
      <c r="E703" s="198"/>
      <c r="F703" s="198"/>
      <c r="G703" s="198"/>
      <c r="H703" s="198"/>
      <c r="I703" s="198"/>
      <c r="J703" s="198"/>
      <c r="K703" s="198"/>
      <c r="L703" s="198"/>
      <c r="M703" s="198"/>
      <c r="N703" s="198"/>
      <c r="O703" s="198"/>
      <c r="P703" s="198"/>
      <c r="Q703" s="198"/>
      <c r="R703" s="198"/>
      <c r="S703" s="198"/>
    </row>
    <row r="704" spans="3:19" x14ac:dyDescent="0.25">
      <c r="C704" s="198"/>
      <c r="D704" s="198"/>
      <c r="E704" s="198"/>
      <c r="F704" s="198"/>
      <c r="G704" s="198"/>
      <c r="H704" s="198"/>
      <c r="I704" s="198"/>
      <c r="J704" s="198"/>
      <c r="K704" s="198"/>
      <c r="L704" s="198"/>
      <c r="M704" s="198"/>
      <c r="N704" s="198"/>
      <c r="O704" s="198"/>
      <c r="P704" s="198"/>
      <c r="Q704" s="198"/>
      <c r="R704" s="198"/>
      <c r="S704" s="198"/>
    </row>
    <row r="705" spans="3:19" x14ac:dyDescent="0.25">
      <c r="C705" s="198"/>
      <c r="D705" s="198"/>
      <c r="E705" s="198"/>
      <c r="F705" s="198"/>
      <c r="G705" s="198"/>
      <c r="H705" s="198"/>
      <c r="I705" s="198"/>
      <c r="J705" s="198"/>
      <c r="K705" s="198"/>
      <c r="L705" s="198"/>
      <c r="M705" s="198"/>
      <c r="N705" s="198"/>
      <c r="O705" s="198"/>
      <c r="P705" s="198"/>
      <c r="Q705" s="198"/>
      <c r="R705" s="198"/>
      <c r="S705" s="198"/>
    </row>
    <row r="706" spans="3:19" x14ac:dyDescent="0.25">
      <c r="C706" s="198"/>
      <c r="D706" s="198"/>
      <c r="E706" s="198"/>
      <c r="F706" s="198"/>
      <c r="G706" s="198"/>
      <c r="H706" s="198"/>
      <c r="I706" s="198"/>
      <c r="J706" s="198"/>
      <c r="K706" s="198"/>
      <c r="L706" s="198"/>
      <c r="M706" s="198"/>
      <c r="N706" s="198"/>
      <c r="O706" s="198"/>
      <c r="P706" s="198"/>
      <c r="Q706" s="198"/>
      <c r="R706" s="198"/>
      <c r="S706" s="198"/>
    </row>
    <row r="707" spans="3:19" x14ac:dyDescent="0.25">
      <c r="C707" s="198"/>
      <c r="D707" s="198"/>
      <c r="E707" s="198"/>
      <c r="F707" s="198"/>
      <c r="G707" s="198"/>
      <c r="H707" s="198"/>
      <c r="I707" s="198"/>
      <c r="J707" s="198"/>
      <c r="K707" s="198"/>
      <c r="L707" s="198"/>
      <c r="M707" s="198"/>
      <c r="N707" s="198"/>
      <c r="O707" s="198"/>
      <c r="P707" s="198"/>
      <c r="Q707" s="198"/>
      <c r="R707" s="198"/>
      <c r="S707" s="198"/>
    </row>
    <row r="708" spans="3:19" x14ac:dyDescent="0.25">
      <c r="C708" s="198"/>
      <c r="D708" s="198"/>
      <c r="E708" s="198"/>
      <c r="F708" s="198"/>
      <c r="G708" s="198"/>
      <c r="H708" s="198"/>
      <c r="I708" s="198"/>
      <c r="J708" s="198"/>
      <c r="K708" s="198"/>
      <c r="L708" s="198"/>
      <c r="M708" s="198"/>
      <c r="N708" s="198"/>
      <c r="O708" s="198"/>
      <c r="P708" s="198"/>
      <c r="Q708" s="198"/>
      <c r="R708" s="198"/>
      <c r="S708" s="198"/>
    </row>
    <row r="709" spans="3:19" x14ac:dyDescent="0.25">
      <c r="C709" s="198"/>
      <c r="D709" s="198"/>
      <c r="E709" s="198"/>
      <c r="F709" s="198"/>
      <c r="G709" s="198"/>
      <c r="H709" s="198"/>
      <c r="I709" s="198"/>
      <c r="J709" s="198"/>
      <c r="K709" s="198"/>
      <c r="L709" s="198"/>
      <c r="M709" s="198"/>
      <c r="N709" s="198"/>
      <c r="O709" s="198"/>
      <c r="P709" s="198"/>
      <c r="Q709" s="198"/>
      <c r="R709" s="198"/>
      <c r="S709" s="198"/>
    </row>
    <row r="710" spans="3:19" x14ac:dyDescent="0.25">
      <c r="C710" s="198"/>
      <c r="D710" s="198"/>
      <c r="E710" s="198"/>
      <c r="F710" s="198"/>
      <c r="G710" s="198"/>
      <c r="H710" s="198"/>
      <c r="I710" s="198"/>
      <c r="J710" s="198"/>
      <c r="K710" s="198"/>
      <c r="L710" s="198"/>
      <c r="M710" s="198"/>
      <c r="N710" s="198"/>
      <c r="O710" s="198"/>
      <c r="P710" s="198"/>
      <c r="Q710" s="198"/>
      <c r="R710" s="198"/>
      <c r="S710" s="198"/>
    </row>
    <row r="711" spans="3:19" x14ac:dyDescent="0.25">
      <c r="C711" s="198"/>
      <c r="D711" s="198"/>
      <c r="E711" s="198"/>
      <c r="F711" s="198"/>
      <c r="G711" s="198"/>
      <c r="H711" s="198"/>
      <c r="I711" s="198"/>
      <c r="J711" s="198"/>
      <c r="K711" s="198"/>
      <c r="L711" s="198"/>
      <c r="M711" s="198"/>
      <c r="N711" s="198"/>
      <c r="O711" s="198"/>
      <c r="P711" s="198"/>
      <c r="Q711" s="198"/>
      <c r="R711" s="198"/>
      <c r="S711" s="198"/>
    </row>
    <row r="712" spans="3:19" x14ac:dyDescent="0.25">
      <c r="C712" s="198"/>
      <c r="D712" s="198"/>
      <c r="E712" s="198"/>
      <c r="F712" s="198"/>
      <c r="G712" s="198"/>
      <c r="H712" s="198"/>
      <c r="I712" s="198"/>
      <c r="J712" s="198"/>
      <c r="K712" s="198"/>
      <c r="L712" s="198"/>
      <c r="M712" s="198"/>
      <c r="N712" s="198"/>
      <c r="O712" s="198"/>
      <c r="P712" s="198"/>
      <c r="Q712" s="198"/>
      <c r="R712" s="198"/>
      <c r="S712" s="198"/>
    </row>
    <row r="713" spans="3:19" x14ac:dyDescent="0.25">
      <c r="C713" s="198"/>
      <c r="D713" s="198"/>
      <c r="E713" s="198"/>
      <c r="F713" s="198"/>
      <c r="G713" s="198"/>
      <c r="H713" s="198"/>
      <c r="I713" s="198"/>
      <c r="J713" s="198"/>
      <c r="K713" s="198"/>
      <c r="L713" s="198"/>
      <c r="M713" s="198"/>
      <c r="N713" s="198"/>
      <c r="O713" s="198"/>
      <c r="P713" s="198"/>
      <c r="Q713" s="198"/>
      <c r="R713" s="198"/>
      <c r="S713" s="198"/>
    </row>
    <row r="714" spans="3:19" x14ac:dyDescent="0.25">
      <c r="C714" s="198"/>
      <c r="D714" s="198"/>
      <c r="E714" s="198"/>
      <c r="F714" s="198"/>
      <c r="G714" s="198"/>
      <c r="H714" s="198"/>
      <c r="I714" s="198"/>
      <c r="J714" s="198"/>
      <c r="K714" s="198"/>
      <c r="L714" s="198"/>
      <c r="M714" s="198"/>
      <c r="N714" s="198"/>
      <c r="O714" s="198"/>
      <c r="P714" s="198"/>
      <c r="Q714" s="198"/>
      <c r="R714" s="198"/>
      <c r="S714" s="198"/>
    </row>
    <row r="715" spans="3:19" x14ac:dyDescent="0.25">
      <c r="C715" s="198"/>
      <c r="D715" s="198"/>
      <c r="E715" s="198"/>
      <c r="F715" s="198"/>
      <c r="G715" s="198"/>
      <c r="H715" s="198"/>
      <c r="I715" s="198"/>
      <c r="J715" s="198"/>
      <c r="K715" s="198"/>
      <c r="L715" s="198"/>
      <c r="M715" s="198"/>
      <c r="N715" s="198"/>
      <c r="O715" s="198"/>
      <c r="P715" s="198"/>
      <c r="Q715" s="198"/>
      <c r="R715" s="198"/>
      <c r="S715" s="198"/>
    </row>
    <row r="716" spans="3:19" x14ac:dyDescent="0.25">
      <c r="C716" s="198"/>
      <c r="D716" s="198"/>
      <c r="E716" s="198"/>
      <c r="F716" s="198"/>
      <c r="G716" s="198"/>
      <c r="H716" s="198"/>
      <c r="I716" s="198"/>
      <c r="J716" s="198"/>
      <c r="K716" s="198"/>
      <c r="L716" s="198"/>
      <c r="M716" s="198"/>
      <c r="N716" s="198"/>
      <c r="O716" s="198"/>
      <c r="P716" s="198"/>
      <c r="Q716" s="198"/>
      <c r="R716" s="198"/>
      <c r="S716" s="198"/>
    </row>
    <row r="717" spans="3:19" x14ac:dyDescent="0.25">
      <c r="C717" s="198"/>
      <c r="D717" s="198"/>
      <c r="E717" s="198"/>
      <c r="F717" s="198"/>
      <c r="G717" s="198"/>
      <c r="H717" s="198"/>
      <c r="I717" s="198"/>
      <c r="J717" s="198"/>
      <c r="K717" s="198"/>
      <c r="L717" s="198"/>
      <c r="M717" s="198"/>
      <c r="N717" s="198"/>
      <c r="O717" s="198"/>
      <c r="P717" s="198"/>
      <c r="Q717" s="198"/>
      <c r="R717" s="198"/>
      <c r="S717" s="198"/>
    </row>
    <row r="718" spans="3:19" x14ac:dyDescent="0.25">
      <c r="C718" s="198"/>
      <c r="D718" s="198"/>
      <c r="E718" s="198"/>
      <c r="F718" s="198"/>
      <c r="G718" s="198"/>
      <c r="H718" s="198"/>
      <c r="I718" s="198"/>
      <c r="J718" s="198"/>
      <c r="K718" s="198"/>
      <c r="L718" s="198"/>
      <c r="M718" s="198"/>
      <c r="N718" s="198"/>
      <c r="O718" s="198"/>
      <c r="P718" s="198"/>
      <c r="Q718" s="198"/>
      <c r="R718" s="198"/>
      <c r="S718" s="198"/>
    </row>
    <row r="719" spans="3:19" x14ac:dyDescent="0.25">
      <c r="C719" s="198"/>
      <c r="D719" s="198"/>
      <c r="E719" s="198"/>
      <c r="F719" s="198"/>
      <c r="G719" s="198"/>
      <c r="H719" s="198"/>
      <c r="I719" s="198"/>
      <c r="J719" s="198"/>
      <c r="K719" s="198"/>
      <c r="L719" s="198"/>
      <c r="M719" s="198"/>
      <c r="N719" s="198"/>
      <c r="O719" s="198"/>
      <c r="P719" s="198"/>
      <c r="Q719" s="198"/>
      <c r="R719" s="198"/>
      <c r="S719" s="198"/>
    </row>
    <row r="720" spans="3:19" x14ac:dyDescent="0.25">
      <c r="C720" s="198"/>
      <c r="D720" s="198"/>
      <c r="E720" s="198"/>
      <c r="F720" s="198"/>
      <c r="G720" s="198"/>
      <c r="H720" s="198"/>
      <c r="I720" s="198"/>
      <c r="J720" s="198"/>
      <c r="K720" s="198"/>
      <c r="L720" s="198"/>
      <c r="M720" s="198"/>
      <c r="N720" s="198"/>
      <c r="O720" s="198"/>
      <c r="P720" s="198"/>
      <c r="Q720" s="198"/>
      <c r="R720" s="198"/>
      <c r="S720" s="198"/>
    </row>
    <row r="721" spans="3:19" x14ac:dyDescent="0.25">
      <c r="C721" s="198"/>
      <c r="D721" s="198"/>
      <c r="E721" s="198"/>
      <c r="F721" s="198"/>
      <c r="G721" s="198"/>
      <c r="H721" s="198"/>
      <c r="I721" s="198"/>
      <c r="J721" s="198"/>
      <c r="K721" s="198"/>
      <c r="L721" s="198"/>
      <c r="M721" s="198"/>
      <c r="N721" s="198"/>
      <c r="O721" s="198"/>
      <c r="P721" s="198"/>
      <c r="Q721" s="198"/>
      <c r="R721" s="198"/>
      <c r="S721" s="198"/>
    </row>
    <row r="722" spans="3:19" x14ac:dyDescent="0.25">
      <c r="C722" s="198"/>
      <c r="D722" s="198"/>
      <c r="E722" s="198"/>
      <c r="F722" s="198"/>
      <c r="G722" s="198"/>
      <c r="H722" s="198"/>
      <c r="I722" s="198"/>
      <c r="J722" s="198"/>
      <c r="K722" s="198"/>
      <c r="L722" s="198"/>
      <c r="M722" s="198"/>
      <c r="N722" s="198"/>
      <c r="O722" s="198"/>
      <c r="P722" s="198"/>
      <c r="Q722" s="198"/>
      <c r="R722" s="198"/>
      <c r="S722" s="198"/>
    </row>
    <row r="723" spans="3:19" x14ac:dyDescent="0.25">
      <c r="C723" s="198"/>
      <c r="D723" s="198"/>
      <c r="E723" s="198"/>
      <c r="F723" s="198"/>
      <c r="G723" s="198"/>
      <c r="H723" s="198"/>
      <c r="I723" s="198"/>
      <c r="J723" s="198"/>
      <c r="K723" s="198"/>
      <c r="L723" s="198"/>
      <c r="M723" s="198"/>
      <c r="N723" s="198"/>
      <c r="O723" s="198"/>
      <c r="P723" s="198"/>
      <c r="Q723" s="198"/>
      <c r="R723" s="198"/>
      <c r="S723" s="198"/>
    </row>
    <row r="724" spans="3:19" x14ac:dyDescent="0.25">
      <c r="C724" s="198"/>
      <c r="D724" s="198"/>
      <c r="E724" s="198"/>
      <c r="F724" s="198"/>
      <c r="G724" s="198"/>
      <c r="H724" s="198"/>
      <c r="I724" s="198"/>
      <c r="J724" s="198"/>
      <c r="K724" s="198"/>
      <c r="L724" s="198"/>
      <c r="M724" s="198"/>
      <c r="N724" s="198"/>
      <c r="O724" s="198"/>
      <c r="P724" s="198"/>
      <c r="Q724" s="198"/>
      <c r="R724" s="198"/>
      <c r="S724" s="198"/>
    </row>
    <row r="725" spans="3:19" x14ac:dyDescent="0.25">
      <c r="C725" s="198"/>
      <c r="D725" s="198"/>
      <c r="E725" s="198"/>
      <c r="F725" s="198"/>
      <c r="G725" s="198"/>
      <c r="H725" s="198"/>
      <c r="I725" s="198"/>
      <c r="J725" s="198"/>
      <c r="K725" s="198"/>
      <c r="L725" s="198"/>
      <c r="M725" s="198"/>
      <c r="N725" s="198"/>
      <c r="O725" s="198"/>
      <c r="P725" s="198"/>
      <c r="Q725" s="198"/>
      <c r="R725" s="198"/>
      <c r="S725" s="198"/>
    </row>
    <row r="726" spans="3:19" x14ac:dyDescent="0.25">
      <c r="C726" s="198"/>
      <c r="D726" s="198"/>
      <c r="E726" s="198"/>
      <c r="F726" s="198"/>
      <c r="G726" s="198"/>
      <c r="H726" s="198"/>
      <c r="I726" s="198"/>
      <c r="J726" s="198"/>
      <c r="K726" s="198"/>
      <c r="L726" s="198"/>
      <c r="M726" s="198"/>
      <c r="N726" s="198"/>
      <c r="O726" s="198"/>
      <c r="P726" s="198"/>
      <c r="Q726" s="198"/>
      <c r="R726" s="198"/>
      <c r="S726" s="198"/>
    </row>
    <row r="727" spans="3:19" x14ac:dyDescent="0.25">
      <c r="C727" s="198"/>
      <c r="D727" s="198"/>
      <c r="E727" s="198"/>
      <c r="F727" s="198"/>
      <c r="G727" s="198"/>
      <c r="H727" s="198"/>
      <c r="I727" s="198"/>
      <c r="J727" s="198"/>
      <c r="K727" s="198"/>
      <c r="L727" s="198"/>
      <c r="M727" s="198"/>
      <c r="N727" s="198"/>
      <c r="O727" s="198"/>
      <c r="P727" s="198"/>
      <c r="Q727" s="198"/>
      <c r="R727" s="198"/>
      <c r="S727" s="198"/>
    </row>
    <row r="728" spans="3:19" x14ac:dyDescent="0.25">
      <c r="C728" s="198"/>
      <c r="D728" s="198"/>
      <c r="E728" s="198"/>
      <c r="F728" s="198"/>
      <c r="G728" s="198"/>
      <c r="H728" s="198"/>
      <c r="I728" s="198"/>
      <c r="J728" s="198"/>
      <c r="K728" s="198"/>
      <c r="L728" s="198"/>
      <c r="M728" s="198"/>
      <c r="N728" s="198"/>
      <c r="O728" s="198"/>
      <c r="P728" s="198"/>
      <c r="Q728" s="198"/>
      <c r="R728" s="198"/>
      <c r="S728" s="198"/>
    </row>
    <row r="729" spans="3:19" x14ac:dyDescent="0.25">
      <c r="C729" s="198"/>
      <c r="D729" s="198"/>
      <c r="E729" s="198"/>
      <c r="F729" s="198"/>
      <c r="G729" s="198"/>
      <c r="H729" s="198"/>
      <c r="I729" s="198"/>
      <c r="J729" s="198"/>
      <c r="K729" s="198"/>
      <c r="L729" s="198"/>
      <c r="M729" s="198"/>
      <c r="N729" s="198"/>
      <c r="O729" s="198"/>
      <c r="P729" s="198"/>
      <c r="Q729" s="198"/>
      <c r="R729" s="198"/>
      <c r="S729" s="198"/>
    </row>
    <row r="730" spans="3:19" x14ac:dyDescent="0.25">
      <c r="C730" s="198"/>
      <c r="D730" s="198"/>
      <c r="E730" s="198"/>
      <c r="F730" s="198"/>
      <c r="G730" s="198"/>
      <c r="H730" s="198"/>
      <c r="I730" s="198"/>
      <c r="J730" s="198"/>
      <c r="K730" s="198"/>
      <c r="L730" s="198"/>
      <c r="M730" s="198"/>
      <c r="N730" s="198"/>
      <c r="O730" s="198"/>
      <c r="P730" s="198"/>
      <c r="Q730" s="198"/>
      <c r="R730" s="198"/>
      <c r="S730" s="198"/>
    </row>
    <row r="731" spans="3:19" x14ac:dyDescent="0.25">
      <c r="C731" s="198"/>
      <c r="D731" s="198"/>
      <c r="E731" s="198"/>
      <c r="F731" s="198"/>
      <c r="G731" s="198"/>
      <c r="H731" s="198"/>
      <c r="I731" s="198"/>
      <c r="J731" s="198"/>
      <c r="K731" s="198"/>
      <c r="L731" s="198"/>
      <c r="M731" s="198"/>
      <c r="N731" s="198"/>
      <c r="O731" s="198"/>
      <c r="P731" s="198"/>
      <c r="Q731" s="198"/>
      <c r="R731" s="198"/>
      <c r="S731" s="198"/>
    </row>
    <row r="732" spans="3:19" x14ac:dyDescent="0.25">
      <c r="C732" s="198"/>
      <c r="D732" s="198"/>
      <c r="E732" s="198"/>
      <c r="F732" s="198"/>
      <c r="G732" s="198"/>
      <c r="H732" s="198"/>
      <c r="I732" s="198"/>
      <c r="J732" s="198"/>
      <c r="K732" s="198"/>
      <c r="L732" s="198"/>
      <c r="M732" s="198"/>
      <c r="N732" s="198"/>
      <c r="O732" s="198"/>
      <c r="P732" s="198"/>
      <c r="Q732" s="198"/>
      <c r="R732" s="198"/>
      <c r="S732" s="198"/>
    </row>
    <row r="733" spans="3:19" x14ac:dyDescent="0.25">
      <c r="C733" s="198"/>
      <c r="D733" s="198"/>
      <c r="E733" s="198"/>
      <c r="F733" s="198"/>
      <c r="G733" s="198"/>
      <c r="H733" s="198"/>
      <c r="I733" s="198"/>
      <c r="J733" s="198"/>
      <c r="K733" s="198"/>
      <c r="L733" s="198"/>
      <c r="M733" s="198"/>
      <c r="N733" s="198"/>
      <c r="O733" s="198"/>
      <c r="P733" s="198"/>
      <c r="Q733" s="198"/>
      <c r="R733" s="198"/>
      <c r="S733" s="198"/>
    </row>
    <row r="734" spans="3:19" x14ac:dyDescent="0.25">
      <c r="C734" s="198"/>
      <c r="D734" s="198"/>
      <c r="E734" s="198"/>
      <c r="F734" s="198"/>
      <c r="G734" s="198"/>
      <c r="H734" s="198"/>
      <c r="I734" s="198"/>
      <c r="J734" s="198"/>
      <c r="K734" s="198"/>
      <c r="L734" s="198"/>
      <c r="M734" s="198"/>
      <c r="N734" s="198"/>
      <c r="O734" s="198"/>
      <c r="P734" s="198"/>
      <c r="Q734" s="198"/>
      <c r="R734" s="198"/>
      <c r="S734" s="198"/>
    </row>
    <row r="735" spans="3:19" x14ac:dyDescent="0.25">
      <c r="C735" s="198"/>
      <c r="D735" s="198"/>
      <c r="E735" s="198"/>
      <c r="F735" s="198"/>
      <c r="G735" s="198"/>
      <c r="H735" s="198"/>
      <c r="I735" s="198"/>
      <c r="J735" s="198"/>
      <c r="K735" s="198"/>
      <c r="L735" s="198"/>
      <c r="M735" s="198"/>
      <c r="N735" s="198"/>
      <c r="O735" s="198"/>
      <c r="P735" s="198"/>
      <c r="Q735" s="198"/>
      <c r="R735" s="198"/>
      <c r="S735" s="198"/>
    </row>
    <row r="736" spans="3:19" x14ac:dyDescent="0.25">
      <c r="C736" s="198"/>
      <c r="D736" s="198"/>
      <c r="E736" s="198"/>
      <c r="F736" s="198"/>
      <c r="G736" s="198"/>
      <c r="H736" s="198"/>
      <c r="I736" s="198"/>
      <c r="J736" s="198"/>
      <c r="K736" s="198"/>
      <c r="L736" s="198"/>
      <c r="M736" s="198"/>
      <c r="N736" s="198"/>
      <c r="O736" s="198"/>
      <c r="P736" s="198"/>
      <c r="Q736" s="198"/>
      <c r="R736" s="198"/>
      <c r="S736" s="198"/>
    </row>
    <row r="737" spans="3:19" x14ac:dyDescent="0.25">
      <c r="C737" s="198"/>
      <c r="D737" s="198"/>
      <c r="E737" s="198"/>
      <c r="F737" s="198"/>
      <c r="G737" s="198"/>
      <c r="H737" s="198"/>
      <c r="I737" s="198"/>
      <c r="J737" s="198"/>
      <c r="K737" s="198"/>
      <c r="L737" s="198"/>
      <c r="M737" s="198"/>
      <c r="N737" s="198"/>
      <c r="O737" s="198"/>
      <c r="P737" s="198"/>
      <c r="Q737" s="198"/>
      <c r="R737" s="198"/>
      <c r="S737" s="198"/>
    </row>
    <row r="738" spans="3:19" x14ac:dyDescent="0.25">
      <c r="C738" s="198"/>
      <c r="D738" s="198"/>
      <c r="E738" s="198"/>
      <c r="F738" s="198"/>
      <c r="G738" s="198"/>
      <c r="H738" s="198"/>
      <c r="I738" s="198"/>
      <c r="J738" s="198"/>
      <c r="K738" s="198"/>
      <c r="L738" s="198"/>
      <c r="M738" s="198"/>
      <c r="N738" s="198"/>
      <c r="O738" s="198"/>
      <c r="P738" s="198"/>
      <c r="Q738" s="198"/>
      <c r="R738" s="198"/>
      <c r="S738" s="198"/>
    </row>
    <row r="739" spans="3:19" x14ac:dyDescent="0.25">
      <c r="C739" s="198"/>
      <c r="D739" s="198"/>
      <c r="E739" s="198"/>
      <c r="F739" s="198"/>
      <c r="G739" s="198"/>
      <c r="H739" s="198"/>
      <c r="I739" s="198"/>
      <c r="J739" s="198"/>
      <c r="K739" s="198"/>
      <c r="L739" s="198"/>
      <c r="M739" s="198"/>
      <c r="N739" s="198"/>
      <c r="O739" s="198"/>
      <c r="P739" s="198"/>
      <c r="Q739" s="198"/>
      <c r="R739" s="198"/>
      <c r="S739" s="198"/>
    </row>
    <row r="740" spans="3:19" x14ac:dyDescent="0.25">
      <c r="C740" s="198"/>
      <c r="D740" s="198"/>
      <c r="E740" s="198"/>
      <c r="F740" s="198"/>
      <c r="G740" s="198"/>
      <c r="H740" s="198"/>
      <c r="I740" s="198"/>
      <c r="J740" s="198"/>
      <c r="K740" s="198"/>
      <c r="L740" s="198"/>
      <c r="M740" s="198"/>
      <c r="N740" s="198"/>
      <c r="O740" s="198"/>
      <c r="P740" s="198"/>
      <c r="Q740" s="198"/>
      <c r="R740" s="198"/>
      <c r="S740" s="198"/>
    </row>
    <row r="741" spans="3:19" x14ac:dyDescent="0.25">
      <c r="C741" s="198"/>
      <c r="D741" s="198"/>
      <c r="E741" s="198"/>
      <c r="F741" s="198"/>
      <c r="G741" s="198"/>
      <c r="H741" s="198"/>
      <c r="I741" s="198"/>
      <c r="J741" s="198"/>
      <c r="K741" s="198"/>
      <c r="L741" s="198"/>
      <c r="M741" s="198"/>
      <c r="N741" s="198"/>
      <c r="O741" s="198"/>
      <c r="P741" s="198"/>
      <c r="Q741" s="198"/>
      <c r="R741" s="198"/>
      <c r="S741" s="198"/>
    </row>
    <row r="742" spans="3:19" x14ac:dyDescent="0.25">
      <c r="C742" s="198"/>
      <c r="D742" s="198"/>
      <c r="E742" s="198"/>
      <c r="F742" s="198"/>
      <c r="G742" s="198"/>
      <c r="H742" s="198"/>
      <c r="I742" s="198"/>
      <c r="J742" s="198"/>
      <c r="K742" s="198"/>
      <c r="L742" s="198"/>
      <c r="M742" s="198"/>
      <c r="N742" s="198"/>
      <c r="O742" s="198"/>
      <c r="P742" s="198"/>
      <c r="Q742" s="198"/>
      <c r="R742" s="198"/>
      <c r="S742" s="198"/>
    </row>
    <row r="743" spans="3:19" x14ac:dyDescent="0.25">
      <c r="C743" s="198"/>
      <c r="D743" s="198"/>
      <c r="E743" s="198"/>
      <c r="F743" s="198"/>
      <c r="G743" s="198"/>
      <c r="H743" s="198"/>
      <c r="I743" s="198"/>
      <c r="J743" s="198"/>
      <c r="K743" s="198"/>
      <c r="L743" s="198"/>
      <c r="M743" s="198"/>
      <c r="N743" s="198"/>
      <c r="O743" s="198"/>
      <c r="P743" s="198"/>
      <c r="Q743" s="198"/>
      <c r="R743" s="198"/>
      <c r="S743" s="198"/>
    </row>
    <row r="744" spans="3:19" x14ac:dyDescent="0.25">
      <c r="C744" s="198"/>
      <c r="D744" s="198"/>
      <c r="E744" s="198"/>
      <c r="F744" s="198"/>
      <c r="G744" s="198"/>
      <c r="H744" s="198"/>
      <c r="I744" s="198"/>
      <c r="J744" s="198"/>
      <c r="K744" s="198"/>
      <c r="L744" s="198"/>
      <c r="M744" s="198"/>
      <c r="N744" s="198"/>
      <c r="O744" s="198"/>
      <c r="P744" s="198"/>
      <c r="Q744" s="198"/>
      <c r="R744" s="198"/>
      <c r="S744" s="198"/>
    </row>
    <row r="745" spans="3:19" x14ac:dyDescent="0.25">
      <c r="C745" s="198"/>
      <c r="D745" s="198"/>
      <c r="E745" s="198"/>
      <c r="F745" s="198"/>
      <c r="G745" s="198"/>
      <c r="H745" s="198"/>
      <c r="I745" s="198"/>
      <c r="J745" s="198"/>
      <c r="K745" s="198"/>
      <c r="L745" s="198"/>
      <c r="M745" s="198"/>
      <c r="N745" s="198"/>
      <c r="O745" s="198"/>
      <c r="P745" s="198"/>
      <c r="Q745" s="198"/>
      <c r="R745" s="198"/>
      <c r="S745" s="198"/>
    </row>
    <row r="746" spans="3:19" x14ac:dyDescent="0.25">
      <c r="C746" s="198"/>
      <c r="D746" s="198"/>
      <c r="E746" s="198"/>
      <c r="F746" s="198"/>
      <c r="G746" s="198"/>
      <c r="H746" s="198"/>
      <c r="I746" s="198"/>
      <c r="J746" s="198"/>
      <c r="K746" s="198"/>
      <c r="L746" s="198"/>
      <c r="M746" s="198"/>
      <c r="N746" s="198"/>
      <c r="O746" s="198"/>
      <c r="P746" s="198"/>
      <c r="Q746" s="198"/>
      <c r="R746" s="198"/>
      <c r="S746" s="198"/>
    </row>
    <row r="747" spans="3:19" x14ac:dyDescent="0.25">
      <c r="C747" s="198"/>
      <c r="D747" s="198"/>
      <c r="E747" s="198"/>
      <c r="F747" s="198"/>
      <c r="G747" s="198"/>
      <c r="H747" s="198"/>
      <c r="I747" s="198"/>
      <c r="J747" s="198"/>
      <c r="K747" s="198"/>
      <c r="L747" s="198"/>
      <c r="M747" s="198"/>
      <c r="N747" s="198"/>
      <c r="O747" s="198"/>
      <c r="P747" s="198"/>
      <c r="Q747" s="198"/>
      <c r="R747" s="198"/>
      <c r="S747" s="198"/>
    </row>
    <row r="748" spans="3:19" x14ac:dyDescent="0.25">
      <c r="C748" s="198"/>
      <c r="D748" s="198"/>
      <c r="E748" s="198"/>
      <c r="F748" s="198"/>
      <c r="G748" s="198"/>
      <c r="H748" s="198"/>
      <c r="I748" s="198"/>
      <c r="J748" s="198"/>
      <c r="K748" s="198"/>
      <c r="L748" s="198"/>
      <c r="M748" s="198"/>
      <c r="N748" s="198"/>
      <c r="O748" s="198"/>
      <c r="P748" s="198"/>
      <c r="Q748" s="198"/>
      <c r="R748" s="198"/>
      <c r="S748" s="198"/>
    </row>
    <row r="749" spans="3:19" x14ac:dyDescent="0.25">
      <c r="C749" s="198"/>
      <c r="D749" s="198"/>
      <c r="E749" s="198"/>
      <c r="F749" s="198"/>
      <c r="G749" s="198"/>
      <c r="H749" s="198"/>
      <c r="I749" s="198"/>
      <c r="J749" s="198"/>
      <c r="K749" s="198"/>
      <c r="L749" s="198"/>
      <c r="M749" s="198"/>
      <c r="N749" s="198"/>
      <c r="O749" s="198"/>
      <c r="P749" s="198"/>
      <c r="Q749" s="198"/>
      <c r="R749" s="198"/>
      <c r="S749" s="198"/>
    </row>
    <row r="750" spans="3:19" x14ac:dyDescent="0.25">
      <c r="C750" s="198"/>
      <c r="D750" s="198"/>
      <c r="E750" s="198"/>
      <c r="F750" s="198"/>
      <c r="G750" s="198"/>
      <c r="H750" s="198"/>
      <c r="I750" s="198"/>
      <c r="J750" s="198"/>
      <c r="K750" s="198"/>
      <c r="L750" s="198"/>
      <c r="M750" s="198"/>
      <c r="N750" s="198"/>
      <c r="O750" s="198"/>
      <c r="P750" s="198"/>
      <c r="Q750" s="198"/>
      <c r="R750" s="198"/>
      <c r="S750" s="198"/>
    </row>
    <row r="751" spans="3:19" x14ac:dyDescent="0.25">
      <c r="C751" s="198"/>
      <c r="D751" s="198"/>
      <c r="E751" s="198"/>
      <c r="F751" s="198"/>
      <c r="G751" s="198"/>
      <c r="H751" s="198"/>
      <c r="I751" s="198"/>
      <c r="J751" s="198"/>
      <c r="K751" s="198"/>
      <c r="L751" s="198"/>
      <c r="M751" s="198"/>
      <c r="N751" s="198"/>
      <c r="O751" s="198"/>
      <c r="P751" s="198"/>
      <c r="Q751" s="198"/>
      <c r="R751" s="198"/>
      <c r="S751" s="198"/>
    </row>
    <row r="752" spans="3:19" x14ac:dyDescent="0.25">
      <c r="C752" s="198"/>
      <c r="D752" s="198"/>
      <c r="E752" s="198"/>
      <c r="F752" s="198"/>
      <c r="G752" s="198"/>
      <c r="H752" s="198"/>
      <c r="I752" s="198"/>
      <c r="J752" s="198"/>
      <c r="K752" s="198"/>
      <c r="L752" s="198"/>
      <c r="M752" s="198"/>
      <c r="N752" s="198"/>
      <c r="O752" s="198"/>
      <c r="P752" s="198"/>
      <c r="Q752" s="198"/>
      <c r="R752" s="198"/>
      <c r="S752" s="198"/>
    </row>
    <row r="753" spans="3:19" x14ac:dyDescent="0.25">
      <c r="C753" s="198"/>
      <c r="D753" s="198"/>
      <c r="E753" s="198"/>
      <c r="F753" s="198"/>
      <c r="G753" s="198"/>
      <c r="H753" s="198"/>
      <c r="I753" s="198"/>
      <c r="J753" s="198"/>
      <c r="K753" s="198"/>
      <c r="L753" s="198"/>
      <c r="M753" s="198"/>
      <c r="N753" s="198"/>
      <c r="O753" s="198"/>
      <c r="P753" s="198"/>
      <c r="Q753" s="198"/>
      <c r="R753" s="198"/>
      <c r="S753" s="198"/>
    </row>
    <row r="754" spans="3:19" x14ac:dyDescent="0.25">
      <c r="C754" s="198"/>
      <c r="D754" s="198"/>
      <c r="E754" s="198"/>
      <c r="F754" s="198"/>
      <c r="G754" s="198"/>
      <c r="H754" s="198"/>
      <c r="I754" s="198"/>
      <c r="J754" s="198"/>
      <c r="K754" s="198"/>
      <c r="L754" s="198"/>
      <c r="M754" s="198"/>
      <c r="N754" s="198"/>
      <c r="O754" s="198"/>
      <c r="P754" s="198"/>
      <c r="Q754" s="198"/>
      <c r="R754" s="198"/>
      <c r="S754" s="198"/>
    </row>
    <row r="755" spans="3:19" x14ac:dyDescent="0.25">
      <c r="C755" s="198"/>
      <c r="D755" s="198"/>
      <c r="E755" s="198"/>
      <c r="F755" s="198"/>
      <c r="G755" s="198"/>
      <c r="H755" s="198"/>
      <c r="I755" s="198"/>
      <c r="J755" s="198"/>
      <c r="K755" s="198"/>
      <c r="L755" s="198"/>
      <c r="M755" s="198"/>
      <c r="N755" s="198"/>
      <c r="O755" s="198"/>
      <c r="P755" s="198"/>
      <c r="Q755" s="198"/>
      <c r="R755" s="198"/>
      <c r="S755" s="198"/>
    </row>
    <row r="756" spans="3:19" x14ac:dyDescent="0.25">
      <c r="C756" s="198"/>
      <c r="D756" s="198"/>
      <c r="E756" s="198"/>
      <c r="F756" s="198"/>
      <c r="G756" s="198"/>
      <c r="H756" s="198"/>
      <c r="I756" s="198"/>
      <c r="J756" s="198"/>
      <c r="K756" s="198"/>
      <c r="L756" s="198"/>
      <c r="M756" s="198"/>
      <c r="N756" s="198"/>
      <c r="O756" s="198"/>
      <c r="P756" s="198"/>
      <c r="Q756" s="198"/>
      <c r="R756" s="198"/>
      <c r="S756" s="198"/>
    </row>
    <row r="757" spans="3:19" x14ac:dyDescent="0.25">
      <c r="C757" s="198"/>
      <c r="D757" s="198"/>
      <c r="E757" s="198"/>
      <c r="F757" s="198"/>
      <c r="G757" s="198"/>
      <c r="H757" s="198"/>
      <c r="I757" s="198"/>
      <c r="J757" s="198"/>
      <c r="K757" s="198"/>
      <c r="L757" s="198"/>
      <c r="M757" s="198"/>
      <c r="N757" s="198"/>
      <c r="O757" s="198"/>
      <c r="P757" s="198"/>
      <c r="Q757" s="198"/>
      <c r="R757" s="198"/>
      <c r="S757" s="198"/>
    </row>
    <row r="758" spans="3:19" x14ac:dyDescent="0.25">
      <c r="C758" s="198"/>
      <c r="D758" s="198"/>
      <c r="E758" s="198"/>
      <c r="F758" s="198"/>
      <c r="G758" s="198"/>
      <c r="H758" s="198"/>
      <c r="I758" s="198"/>
      <c r="J758" s="198"/>
      <c r="K758" s="198"/>
      <c r="L758" s="198"/>
      <c r="M758" s="198"/>
      <c r="N758" s="198"/>
      <c r="O758" s="198"/>
      <c r="P758" s="198"/>
      <c r="Q758" s="198"/>
      <c r="R758" s="198"/>
      <c r="S758" s="198"/>
    </row>
    <row r="759" spans="3:19" x14ac:dyDescent="0.25">
      <c r="C759" s="198"/>
      <c r="D759" s="198"/>
      <c r="E759" s="198"/>
      <c r="F759" s="198"/>
      <c r="G759" s="198"/>
      <c r="H759" s="198"/>
      <c r="I759" s="198"/>
      <c r="J759" s="198"/>
      <c r="K759" s="198"/>
      <c r="L759" s="198"/>
      <c r="M759" s="198"/>
      <c r="N759" s="198"/>
      <c r="O759" s="198"/>
      <c r="P759" s="198"/>
      <c r="Q759" s="198"/>
      <c r="R759" s="198"/>
      <c r="S759" s="198"/>
    </row>
    <row r="760" spans="3:19" x14ac:dyDescent="0.25">
      <c r="C760" s="198"/>
      <c r="D760" s="198"/>
      <c r="E760" s="198"/>
      <c r="F760" s="198"/>
      <c r="G760" s="198"/>
      <c r="H760" s="198"/>
      <c r="I760" s="198"/>
      <c r="J760" s="198"/>
      <c r="K760" s="198"/>
      <c r="L760" s="198"/>
      <c r="M760" s="198"/>
      <c r="N760" s="198"/>
      <c r="O760" s="198"/>
      <c r="P760" s="198"/>
      <c r="Q760" s="198"/>
      <c r="R760" s="198"/>
      <c r="S760" s="198"/>
    </row>
    <row r="761" spans="3:19" x14ac:dyDescent="0.25">
      <c r="C761" s="198"/>
      <c r="D761" s="198"/>
      <c r="E761" s="198"/>
      <c r="F761" s="198"/>
      <c r="G761" s="198"/>
      <c r="H761" s="198"/>
      <c r="I761" s="198"/>
      <c r="J761" s="198"/>
      <c r="K761" s="198"/>
      <c r="L761" s="198"/>
      <c r="M761" s="198"/>
      <c r="N761" s="198"/>
      <c r="O761" s="198"/>
      <c r="P761" s="198"/>
      <c r="Q761" s="198"/>
      <c r="R761" s="198"/>
      <c r="S761" s="198"/>
    </row>
    <row r="762" spans="3:19" x14ac:dyDescent="0.25">
      <c r="C762" s="198"/>
      <c r="D762" s="198"/>
      <c r="E762" s="198"/>
      <c r="F762" s="198"/>
      <c r="G762" s="198"/>
      <c r="H762" s="198"/>
      <c r="I762" s="198"/>
      <c r="J762" s="198"/>
      <c r="K762" s="198"/>
      <c r="L762" s="198"/>
      <c r="M762" s="198"/>
      <c r="N762" s="198"/>
      <c r="O762" s="198"/>
      <c r="P762" s="198"/>
      <c r="Q762" s="198"/>
      <c r="R762" s="198"/>
      <c r="S762" s="198"/>
    </row>
    <row r="763" spans="3:19" x14ac:dyDescent="0.25">
      <c r="C763" s="198"/>
      <c r="D763" s="198"/>
      <c r="E763" s="198"/>
      <c r="F763" s="198"/>
      <c r="G763" s="198"/>
      <c r="H763" s="198"/>
      <c r="I763" s="198"/>
      <c r="J763" s="198"/>
      <c r="K763" s="198"/>
      <c r="L763" s="198"/>
      <c r="M763" s="198"/>
      <c r="N763" s="198"/>
      <c r="O763" s="198"/>
      <c r="P763" s="198"/>
      <c r="Q763" s="198"/>
      <c r="R763" s="198"/>
      <c r="S763" s="198"/>
    </row>
    <row r="764" spans="3:19" x14ac:dyDescent="0.25">
      <c r="C764" s="198"/>
      <c r="D764" s="198"/>
      <c r="E764" s="198"/>
      <c r="F764" s="198"/>
      <c r="G764" s="198"/>
      <c r="H764" s="198"/>
      <c r="I764" s="198"/>
      <c r="J764" s="198"/>
      <c r="K764" s="198"/>
      <c r="L764" s="198"/>
      <c r="M764" s="198"/>
      <c r="N764" s="198"/>
      <c r="O764" s="198"/>
      <c r="P764" s="198"/>
      <c r="Q764" s="198"/>
      <c r="R764" s="198"/>
      <c r="S764" s="198"/>
    </row>
    <row r="765" spans="3:19" x14ac:dyDescent="0.25">
      <c r="C765" s="198"/>
      <c r="D765" s="198"/>
      <c r="E765" s="198"/>
      <c r="F765" s="198"/>
      <c r="G765" s="198"/>
      <c r="H765" s="198"/>
      <c r="I765" s="198"/>
      <c r="J765" s="198"/>
      <c r="K765" s="198"/>
      <c r="L765" s="198"/>
      <c r="M765" s="198"/>
      <c r="N765" s="198"/>
      <c r="O765" s="198"/>
      <c r="P765" s="198"/>
      <c r="Q765" s="198"/>
      <c r="R765" s="198"/>
      <c r="S765" s="198"/>
    </row>
    <row r="766" spans="3:19" x14ac:dyDescent="0.25">
      <c r="C766" s="198"/>
      <c r="D766" s="198"/>
      <c r="E766" s="198"/>
      <c r="F766" s="198"/>
      <c r="G766" s="198"/>
      <c r="H766" s="198"/>
      <c r="I766" s="198"/>
      <c r="J766" s="198"/>
      <c r="K766" s="198"/>
      <c r="L766" s="198"/>
      <c r="M766" s="198"/>
      <c r="N766" s="198"/>
      <c r="O766" s="198"/>
      <c r="P766" s="198"/>
      <c r="Q766" s="198"/>
      <c r="R766" s="198"/>
      <c r="S766" s="198"/>
    </row>
    <row r="767" spans="3:19" x14ac:dyDescent="0.25">
      <c r="C767" s="198"/>
      <c r="D767" s="198"/>
      <c r="E767" s="198"/>
      <c r="F767" s="198"/>
      <c r="G767" s="198"/>
      <c r="H767" s="198"/>
      <c r="I767" s="198"/>
      <c r="J767" s="198"/>
      <c r="K767" s="198"/>
      <c r="L767" s="198"/>
      <c r="M767" s="198"/>
      <c r="N767" s="198"/>
      <c r="O767" s="198"/>
      <c r="P767" s="198"/>
      <c r="Q767" s="198"/>
      <c r="R767" s="198"/>
      <c r="S767" s="198"/>
    </row>
    <row r="768" spans="3:19" x14ac:dyDescent="0.25">
      <c r="C768" s="198"/>
      <c r="D768" s="198"/>
      <c r="E768" s="198"/>
      <c r="F768" s="198"/>
      <c r="G768" s="198"/>
      <c r="H768" s="198"/>
      <c r="I768" s="198"/>
      <c r="J768" s="198"/>
      <c r="K768" s="198"/>
      <c r="L768" s="198"/>
      <c r="M768" s="198"/>
      <c r="N768" s="198"/>
      <c r="O768" s="198"/>
      <c r="P768" s="198"/>
      <c r="Q768" s="198"/>
      <c r="R768" s="198"/>
      <c r="S768" s="198"/>
    </row>
    <row r="769" spans="3:19" x14ac:dyDescent="0.25">
      <c r="C769" s="198"/>
      <c r="D769" s="198"/>
      <c r="E769" s="198"/>
      <c r="F769" s="198"/>
      <c r="G769" s="198"/>
      <c r="H769" s="198"/>
      <c r="I769" s="198"/>
      <c r="J769" s="198"/>
      <c r="K769" s="198"/>
      <c r="L769" s="198"/>
      <c r="M769" s="198"/>
      <c r="N769" s="198"/>
      <c r="O769" s="198"/>
      <c r="P769" s="198"/>
      <c r="Q769" s="198"/>
      <c r="R769" s="198"/>
      <c r="S769" s="198"/>
    </row>
    <row r="770" spans="3:19" x14ac:dyDescent="0.25">
      <c r="C770" s="198"/>
      <c r="D770" s="198"/>
      <c r="E770" s="198"/>
      <c r="F770" s="198"/>
      <c r="G770" s="198"/>
      <c r="H770" s="198"/>
      <c r="I770" s="198"/>
      <c r="J770" s="198"/>
      <c r="K770" s="198"/>
      <c r="L770" s="198"/>
      <c r="M770" s="198"/>
      <c r="N770" s="198"/>
      <c r="O770" s="198"/>
      <c r="P770" s="198"/>
      <c r="Q770" s="198"/>
      <c r="R770" s="198"/>
      <c r="S770" s="198"/>
    </row>
    <row r="771" spans="3:19" x14ac:dyDescent="0.25">
      <c r="C771" s="198"/>
      <c r="D771" s="198"/>
      <c r="E771" s="198"/>
      <c r="F771" s="198"/>
      <c r="G771" s="198"/>
      <c r="H771" s="198"/>
      <c r="I771" s="198"/>
      <c r="J771" s="198"/>
      <c r="K771" s="198"/>
      <c r="L771" s="198"/>
      <c r="M771" s="198"/>
      <c r="N771" s="198"/>
      <c r="O771" s="198"/>
      <c r="P771" s="198"/>
      <c r="Q771" s="198"/>
      <c r="R771" s="198"/>
      <c r="S771" s="198"/>
    </row>
    <row r="772" spans="3:19" x14ac:dyDescent="0.25">
      <c r="C772" s="198"/>
      <c r="D772" s="198"/>
      <c r="E772" s="198"/>
      <c r="F772" s="198"/>
      <c r="G772" s="198"/>
      <c r="H772" s="198"/>
      <c r="I772" s="198"/>
      <c r="J772" s="198"/>
      <c r="K772" s="198"/>
      <c r="L772" s="198"/>
      <c r="M772" s="198"/>
      <c r="N772" s="198"/>
      <c r="O772" s="198"/>
      <c r="P772" s="198"/>
      <c r="Q772" s="198"/>
      <c r="R772" s="198"/>
      <c r="S772" s="198"/>
    </row>
    <row r="773" spans="3:19" x14ac:dyDescent="0.25">
      <c r="C773" s="198"/>
      <c r="D773" s="198"/>
      <c r="E773" s="198"/>
      <c r="F773" s="198"/>
      <c r="G773" s="198"/>
      <c r="H773" s="198"/>
      <c r="I773" s="198"/>
      <c r="J773" s="198"/>
      <c r="K773" s="198"/>
      <c r="L773" s="198"/>
      <c r="M773" s="198"/>
      <c r="N773" s="198"/>
      <c r="O773" s="198"/>
      <c r="P773" s="198"/>
      <c r="Q773" s="198"/>
      <c r="R773" s="198"/>
      <c r="S773" s="198"/>
    </row>
    <row r="774" spans="3:19" x14ac:dyDescent="0.25">
      <c r="C774" s="198"/>
      <c r="D774" s="198"/>
      <c r="E774" s="198"/>
      <c r="F774" s="198"/>
      <c r="G774" s="198"/>
      <c r="H774" s="198"/>
      <c r="I774" s="198"/>
      <c r="J774" s="198"/>
      <c r="K774" s="198"/>
      <c r="L774" s="198"/>
      <c r="M774" s="198"/>
      <c r="N774" s="198"/>
      <c r="O774" s="198"/>
      <c r="P774" s="198"/>
      <c r="Q774" s="198"/>
      <c r="R774" s="198"/>
      <c r="S774" s="198"/>
    </row>
    <row r="775" spans="3:19" x14ac:dyDescent="0.25">
      <c r="C775" s="198"/>
      <c r="D775" s="198"/>
      <c r="E775" s="198"/>
      <c r="F775" s="198"/>
      <c r="G775" s="198"/>
      <c r="H775" s="198"/>
      <c r="I775" s="198"/>
      <c r="J775" s="198"/>
      <c r="K775" s="198"/>
      <c r="L775" s="198"/>
      <c r="M775" s="198"/>
      <c r="N775" s="198"/>
      <c r="O775" s="198"/>
      <c r="P775" s="198"/>
      <c r="Q775" s="198"/>
      <c r="R775" s="198"/>
      <c r="S775" s="198"/>
    </row>
    <row r="776" spans="3:19" x14ac:dyDescent="0.25">
      <c r="C776" s="198"/>
      <c r="D776" s="198"/>
      <c r="E776" s="198"/>
      <c r="F776" s="198"/>
      <c r="G776" s="198"/>
      <c r="H776" s="198"/>
      <c r="I776" s="198"/>
      <c r="J776" s="198"/>
      <c r="K776" s="198"/>
      <c r="L776" s="198"/>
      <c r="M776" s="198"/>
      <c r="N776" s="198"/>
      <c r="O776" s="198"/>
      <c r="P776" s="198"/>
      <c r="Q776" s="198"/>
      <c r="R776" s="198"/>
      <c r="S776" s="198"/>
    </row>
    <row r="777" spans="3:19" x14ac:dyDescent="0.25">
      <c r="C777" s="198"/>
      <c r="D777" s="198"/>
      <c r="E777" s="198"/>
      <c r="F777" s="198"/>
      <c r="G777" s="198"/>
      <c r="H777" s="198"/>
      <c r="I777" s="198"/>
      <c r="J777" s="198"/>
      <c r="K777" s="198"/>
      <c r="L777" s="198"/>
      <c r="M777" s="198"/>
      <c r="N777" s="198"/>
      <c r="O777" s="198"/>
      <c r="P777" s="198"/>
      <c r="Q777" s="198"/>
      <c r="R777" s="198"/>
      <c r="S777" s="198"/>
    </row>
    <row r="778" spans="3:19" x14ac:dyDescent="0.25">
      <c r="C778" s="198"/>
      <c r="D778" s="198"/>
      <c r="E778" s="198"/>
      <c r="F778" s="198"/>
      <c r="G778" s="198"/>
      <c r="H778" s="198"/>
      <c r="I778" s="198"/>
      <c r="J778" s="198"/>
      <c r="K778" s="198"/>
      <c r="L778" s="198"/>
      <c r="M778" s="198"/>
      <c r="N778" s="198"/>
      <c r="O778" s="198"/>
      <c r="P778" s="198"/>
      <c r="Q778" s="198"/>
      <c r="R778" s="198"/>
      <c r="S778" s="198"/>
    </row>
    <row r="779" spans="3:19" x14ac:dyDescent="0.25">
      <c r="C779" s="198"/>
      <c r="D779" s="198"/>
      <c r="E779" s="198"/>
      <c r="F779" s="198"/>
      <c r="G779" s="198"/>
      <c r="H779" s="198"/>
      <c r="I779" s="198"/>
      <c r="J779" s="198"/>
      <c r="K779" s="198"/>
      <c r="L779" s="198"/>
      <c r="M779" s="198"/>
      <c r="N779" s="198"/>
      <c r="O779" s="198"/>
      <c r="P779" s="198"/>
      <c r="Q779" s="198"/>
      <c r="R779" s="198"/>
      <c r="S779" s="198"/>
    </row>
    <row r="780" spans="3:19" x14ac:dyDescent="0.25">
      <c r="C780" s="198"/>
      <c r="D780" s="198"/>
      <c r="E780" s="198"/>
      <c r="F780" s="198"/>
      <c r="G780" s="198"/>
      <c r="H780" s="198"/>
      <c r="I780" s="198"/>
      <c r="J780" s="198"/>
      <c r="K780" s="198"/>
      <c r="L780" s="198"/>
      <c r="M780" s="198"/>
      <c r="N780" s="198"/>
      <c r="O780" s="198"/>
      <c r="P780" s="198"/>
      <c r="Q780" s="198"/>
      <c r="R780" s="198"/>
      <c r="S780" s="198"/>
    </row>
    <row r="781" spans="3:19" x14ac:dyDescent="0.25">
      <c r="C781" s="198"/>
      <c r="D781" s="198"/>
      <c r="E781" s="198"/>
      <c r="F781" s="198"/>
      <c r="G781" s="198"/>
      <c r="H781" s="198"/>
      <c r="I781" s="198"/>
      <c r="J781" s="198"/>
      <c r="K781" s="198"/>
      <c r="L781" s="198"/>
      <c r="M781" s="198"/>
      <c r="N781" s="198"/>
      <c r="O781" s="198"/>
      <c r="P781" s="198"/>
      <c r="Q781" s="198"/>
      <c r="R781" s="198"/>
      <c r="S781" s="198"/>
    </row>
    <row r="782" spans="3:19" x14ac:dyDescent="0.25">
      <c r="C782" s="198"/>
      <c r="D782" s="198"/>
      <c r="E782" s="198"/>
      <c r="F782" s="198"/>
      <c r="G782" s="198"/>
      <c r="H782" s="198"/>
      <c r="I782" s="198"/>
      <c r="J782" s="198"/>
      <c r="K782" s="198"/>
      <c r="L782" s="198"/>
      <c r="M782" s="198"/>
      <c r="N782" s="198"/>
      <c r="O782" s="198"/>
      <c r="P782" s="198"/>
      <c r="Q782" s="198"/>
      <c r="R782" s="198"/>
      <c r="S782" s="198"/>
    </row>
    <row r="783" spans="3:19" x14ac:dyDescent="0.25">
      <c r="C783" s="198"/>
      <c r="D783" s="198"/>
      <c r="E783" s="198"/>
      <c r="F783" s="198"/>
      <c r="G783" s="198"/>
      <c r="H783" s="198"/>
      <c r="I783" s="198"/>
      <c r="J783" s="198"/>
      <c r="K783" s="198"/>
      <c r="L783" s="198"/>
      <c r="M783" s="198"/>
      <c r="N783" s="198"/>
      <c r="O783" s="198"/>
      <c r="P783" s="198"/>
      <c r="Q783" s="198"/>
      <c r="R783" s="198"/>
      <c r="S783" s="198"/>
    </row>
    <row r="784" spans="3:19" x14ac:dyDescent="0.25">
      <c r="C784" s="198"/>
      <c r="D784" s="198"/>
      <c r="E784" s="198"/>
      <c r="F784" s="198"/>
      <c r="G784" s="198"/>
      <c r="H784" s="198"/>
      <c r="I784" s="198"/>
      <c r="J784" s="198"/>
      <c r="K784" s="198"/>
      <c r="L784" s="198"/>
      <c r="M784" s="198"/>
      <c r="N784" s="198"/>
      <c r="O784" s="198"/>
      <c r="P784" s="198"/>
      <c r="Q784" s="198"/>
      <c r="R784" s="198"/>
      <c r="S784" s="198"/>
    </row>
    <row r="785" spans="3:19" x14ac:dyDescent="0.25">
      <c r="C785" s="198"/>
      <c r="D785" s="198"/>
      <c r="E785" s="198"/>
      <c r="F785" s="198"/>
      <c r="G785" s="198"/>
      <c r="H785" s="198"/>
      <c r="I785" s="198"/>
      <c r="J785" s="198"/>
      <c r="K785" s="198"/>
      <c r="L785" s="198"/>
      <c r="M785" s="198"/>
      <c r="N785" s="198"/>
      <c r="O785" s="198"/>
      <c r="P785" s="198"/>
      <c r="Q785" s="198"/>
      <c r="R785" s="198"/>
      <c r="S785" s="198"/>
    </row>
    <row r="786" spans="3:19" x14ac:dyDescent="0.25">
      <c r="C786" s="198"/>
      <c r="D786" s="198"/>
      <c r="E786" s="198"/>
      <c r="F786" s="198"/>
      <c r="G786" s="198"/>
      <c r="H786" s="198"/>
      <c r="I786" s="198"/>
      <c r="J786" s="198"/>
      <c r="K786" s="198"/>
      <c r="L786" s="198"/>
      <c r="M786" s="198"/>
      <c r="N786" s="198"/>
      <c r="O786" s="198"/>
      <c r="P786" s="198"/>
      <c r="Q786" s="198"/>
      <c r="R786" s="198"/>
      <c r="S786" s="198"/>
    </row>
    <row r="787" spans="3:19" x14ac:dyDescent="0.25">
      <c r="C787" s="198"/>
      <c r="D787" s="198"/>
      <c r="E787" s="198"/>
      <c r="F787" s="198"/>
      <c r="G787" s="198"/>
      <c r="H787" s="198"/>
      <c r="I787" s="198"/>
      <c r="J787" s="198"/>
      <c r="K787" s="198"/>
      <c r="L787" s="198"/>
      <c r="M787" s="198"/>
      <c r="N787" s="198"/>
      <c r="O787" s="198"/>
      <c r="P787" s="198"/>
      <c r="Q787" s="198"/>
      <c r="R787" s="198"/>
      <c r="S787" s="198"/>
    </row>
    <row r="788" spans="3:19" x14ac:dyDescent="0.25">
      <c r="C788" s="198"/>
      <c r="D788" s="198"/>
      <c r="E788" s="198"/>
      <c r="F788" s="198"/>
      <c r="G788" s="198"/>
      <c r="H788" s="198"/>
      <c r="I788" s="198"/>
      <c r="J788" s="198"/>
      <c r="K788" s="198"/>
      <c r="L788" s="198"/>
      <c r="M788" s="198"/>
      <c r="N788" s="198"/>
      <c r="O788" s="198"/>
      <c r="P788" s="198"/>
      <c r="Q788" s="198"/>
      <c r="R788" s="198"/>
      <c r="S788" s="198"/>
    </row>
    <row r="789" spans="3:19" x14ac:dyDescent="0.25">
      <c r="C789" s="198"/>
      <c r="D789" s="198"/>
      <c r="E789" s="198"/>
      <c r="F789" s="198"/>
      <c r="G789" s="198"/>
      <c r="H789" s="198"/>
      <c r="I789" s="198"/>
      <c r="J789" s="198"/>
      <c r="K789" s="198"/>
      <c r="L789" s="198"/>
      <c r="M789" s="198"/>
      <c r="N789" s="198"/>
      <c r="O789" s="198"/>
      <c r="P789" s="198"/>
      <c r="Q789" s="198"/>
      <c r="R789" s="198"/>
      <c r="S789" s="198"/>
    </row>
    <row r="790" spans="3:19" x14ac:dyDescent="0.25">
      <c r="C790" s="198"/>
      <c r="D790" s="198"/>
      <c r="E790" s="198"/>
      <c r="F790" s="198"/>
      <c r="G790" s="198"/>
      <c r="H790" s="198"/>
      <c r="I790" s="198"/>
      <c r="J790" s="198"/>
      <c r="K790" s="198"/>
      <c r="L790" s="198"/>
      <c r="M790" s="198"/>
      <c r="N790" s="198"/>
      <c r="O790" s="198"/>
      <c r="P790" s="198"/>
      <c r="Q790" s="198"/>
      <c r="R790" s="198"/>
      <c r="S790" s="198"/>
    </row>
    <row r="791" spans="3:19" x14ac:dyDescent="0.25">
      <c r="C791" s="198"/>
      <c r="D791" s="198"/>
      <c r="E791" s="198"/>
      <c r="F791" s="198"/>
      <c r="G791" s="198"/>
      <c r="H791" s="198"/>
      <c r="I791" s="198"/>
      <c r="J791" s="198"/>
      <c r="K791" s="198"/>
      <c r="L791" s="198"/>
      <c r="M791" s="198"/>
      <c r="N791" s="198"/>
      <c r="O791" s="198"/>
      <c r="P791" s="198"/>
      <c r="Q791" s="198"/>
      <c r="R791" s="198"/>
      <c r="S791" s="198"/>
    </row>
    <row r="792" spans="3:19" x14ac:dyDescent="0.25">
      <c r="C792" s="198"/>
      <c r="D792" s="198"/>
      <c r="E792" s="198"/>
      <c r="F792" s="198"/>
      <c r="G792" s="198"/>
      <c r="H792" s="198"/>
      <c r="I792" s="198"/>
      <c r="J792" s="198"/>
      <c r="K792" s="198"/>
      <c r="L792" s="198"/>
      <c r="M792" s="198"/>
      <c r="N792" s="198"/>
      <c r="O792" s="198"/>
      <c r="P792" s="198"/>
      <c r="Q792" s="198"/>
      <c r="R792" s="198"/>
      <c r="S792" s="198"/>
    </row>
    <row r="793" spans="3:19" x14ac:dyDescent="0.25">
      <c r="C793" s="198"/>
      <c r="D793" s="198"/>
      <c r="E793" s="198"/>
      <c r="F793" s="198"/>
      <c r="G793" s="198"/>
      <c r="H793" s="198"/>
      <c r="I793" s="198"/>
      <c r="J793" s="198"/>
      <c r="K793" s="198"/>
      <c r="L793" s="198"/>
      <c r="M793" s="198"/>
      <c r="N793" s="198"/>
      <c r="O793" s="198"/>
      <c r="P793" s="198"/>
      <c r="Q793" s="198"/>
      <c r="R793" s="198"/>
      <c r="S793" s="198"/>
    </row>
    <row r="794" spans="3:19" x14ac:dyDescent="0.25">
      <c r="C794" s="198"/>
      <c r="D794" s="198"/>
      <c r="E794" s="198"/>
      <c r="F794" s="198"/>
      <c r="G794" s="198"/>
      <c r="H794" s="198"/>
      <c r="I794" s="198"/>
      <c r="J794" s="198"/>
      <c r="K794" s="198"/>
      <c r="L794" s="198"/>
      <c r="M794" s="198"/>
      <c r="N794" s="198"/>
      <c r="O794" s="198"/>
      <c r="P794" s="198"/>
      <c r="Q794" s="198"/>
      <c r="R794" s="198"/>
      <c r="S794" s="198"/>
    </row>
    <row r="795" spans="3:19" x14ac:dyDescent="0.25">
      <c r="C795" s="198"/>
      <c r="D795" s="198"/>
      <c r="E795" s="198"/>
      <c r="F795" s="198"/>
      <c r="G795" s="198"/>
      <c r="H795" s="198"/>
      <c r="I795" s="198"/>
      <c r="J795" s="198"/>
      <c r="K795" s="198"/>
      <c r="L795" s="198"/>
      <c r="M795" s="198"/>
      <c r="N795" s="198"/>
      <c r="O795" s="198"/>
      <c r="P795" s="198"/>
      <c r="Q795" s="198"/>
      <c r="R795" s="198"/>
      <c r="S795" s="198"/>
    </row>
    <row r="796" spans="3:19" x14ac:dyDescent="0.25">
      <c r="C796" s="198"/>
      <c r="D796" s="198"/>
      <c r="E796" s="198"/>
      <c r="F796" s="198"/>
      <c r="G796" s="198"/>
      <c r="H796" s="198"/>
      <c r="I796" s="198"/>
      <c r="J796" s="198"/>
      <c r="K796" s="198"/>
      <c r="L796" s="198"/>
      <c r="M796" s="198"/>
      <c r="N796" s="198"/>
      <c r="O796" s="198"/>
      <c r="P796" s="198"/>
      <c r="Q796" s="198"/>
      <c r="R796" s="198"/>
      <c r="S796" s="198"/>
    </row>
    <row r="797" spans="3:19" x14ac:dyDescent="0.25">
      <c r="C797" s="198"/>
      <c r="D797" s="198"/>
      <c r="E797" s="198"/>
      <c r="F797" s="198"/>
      <c r="G797" s="198"/>
      <c r="H797" s="198"/>
      <c r="I797" s="198"/>
      <c r="J797" s="198"/>
      <c r="K797" s="198"/>
      <c r="L797" s="198"/>
      <c r="M797" s="198"/>
      <c r="N797" s="198"/>
      <c r="O797" s="198"/>
      <c r="P797" s="198"/>
      <c r="Q797" s="198"/>
      <c r="R797" s="198"/>
      <c r="S797" s="198"/>
    </row>
    <row r="798" spans="3:19" x14ac:dyDescent="0.25">
      <c r="C798" s="198"/>
      <c r="D798" s="198"/>
      <c r="E798" s="198"/>
      <c r="F798" s="198"/>
      <c r="G798" s="198"/>
      <c r="H798" s="198"/>
      <c r="I798" s="198"/>
      <c r="J798" s="198"/>
      <c r="K798" s="198"/>
      <c r="L798" s="198"/>
      <c r="M798" s="198"/>
      <c r="N798" s="198"/>
      <c r="O798" s="198"/>
      <c r="P798" s="198"/>
      <c r="Q798" s="198"/>
      <c r="R798" s="198"/>
      <c r="S798" s="198"/>
    </row>
    <row r="799" spans="3:19" x14ac:dyDescent="0.25">
      <c r="C799" s="198"/>
      <c r="D799" s="198"/>
      <c r="E799" s="198"/>
      <c r="F799" s="198"/>
      <c r="G799" s="198"/>
      <c r="H799" s="198"/>
      <c r="I799" s="198"/>
      <c r="J799" s="198"/>
      <c r="K799" s="198"/>
      <c r="L799" s="198"/>
      <c r="M799" s="198"/>
      <c r="N799" s="198"/>
      <c r="O799" s="198"/>
      <c r="P799" s="198"/>
      <c r="Q799" s="198"/>
      <c r="R799" s="198"/>
      <c r="S799" s="198"/>
    </row>
    <row r="800" spans="3:19" x14ac:dyDescent="0.25">
      <c r="C800" s="198"/>
      <c r="D800" s="198"/>
      <c r="E800" s="198"/>
      <c r="F800" s="198"/>
      <c r="G800" s="198"/>
      <c r="H800" s="198"/>
      <c r="I800" s="198"/>
      <c r="J800" s="198"/>
      <c r="K800" s="198"/>
      <c r="L800" s="198"/>
      <c r="M800" s="198"/>
      <c r="N800" s="198"/>
      <c r="O800" s="198"/>
      <c r="P800" s="198"/>
      <c r="Q800" s="198"/>
      <c r="R800" s="198"/>
      <c r="S800" s="198"/>
    </row>
    <row r="801" spans="3:19" x14ac:dyDescent="0.25">
      <c r="C801" s="198"/>
      <c r="D801" s="198"/>
      <c r="E801" s="198"/>
      <c r="F801" s="198"/>
      <c r="G801" s="198"/>
      <c r="H801" s="198"/>
      <c r="I801" s="198"/>
      <c r="J801" s="198"/>
      <c r="K801" s="198"/>
      <c r="L801" s="198"/>
      <c r="M801" s="198"/>
      <c r="N801" s="198"/>
      <c r="O801" s="198"/>
      <c r="P801" s="198"/>
      <c r="Q801" s="198"/>
      <c r="R801" s="198"/>
      <c r="S801" s="198"/>
    </row>
    <row r="802" spans="3:19" x14ac:dyDescent="0.25">
      <c r="C802" s="198"/>
      <c r="D802" s="198"/>
      <c r="E802" s="198"/>
      <c r="F802" s="198"/>
      <c r="G802" s="198"/>
      <c r="H802" s="198"/>
      <c r="I802" s="198"/>
      <c r="J802" s="198"/>
      <c r="K802" s="198"/>
      <c r="L802" s="198"/>
      <c r="M802" s="198"/>
      <c r="N802" s="198"/>
      <c r="O802" s="198"/>
      <c r="P802" s="198"/>
      <c r="Q802" s="198"/>
      <c r="R802" s="198"/>
      <c r="S802" s="198"/>
    </row>
    <row r="803" spans="3:19" x14ac:dyDescent="0.25">
      <c r="C803" s="198"/>
      <c r="D803" s="198"/>
      <c r="E803" s="198"/>
      <c r="F803" s="198"/>
      <c r="G803" s="198"/>
      <c r="H803" s="198"/>
      <c r="I803" s="198"/>
      <c r="J803" s="198"/>
      <c r="K803" s="198"/>
      <c r="L803" s="198"/>
      <c r="M803" s="198"/>
      <c r="N803" s="198"/>
      <c r="O803" s="198"/>
      <c r="P803" s="198"/>
      <c r="Q803" s="198"/>
      <c r="R803" s="198"/>
      <c r="S803" s="198"/>
    </row>
    <row r="804" spans="3:19" x14ac:dyDescent="0.25">
      <c r="C804" s="198"/>
      <c r="D804" s="198"/>
      <c r="E804" s="198"/>
      <c r="F804" s="198"/>
      <c r="G804" s="198"/>
      <c r="H804" s="198"/>
      <c r="I804" s="198"/>
      <c r="J804" s="198"/>
      <c r="K804" s="198"/>
      <c r="L804" s="198"/>
      <c r="M804" s="198"/>
      <c r="N804" s="198"/>
      <c r="O804" s="198"/>
      <c r="P804" s="198"/>
      <c r="Q804" s="198"/>
      <c r="R804" s="198"/>
      <c r="S804" s="198"/>
    </row>
    <row r="805" spans="3:19" x14ac:dyDescent="0.25">
      <c r="C805" s="198"/>
      <c r="D805" s="198"/>
      <c r="E805" s="198"/>
      <c r="F805" s="198"/>
      <c r="G805" s="198"/>
      <c r="H805" s="198"/>
      <c r="I805" s="198"/>
      <c r="J805" s="198"/>
      <c r="K805" s="198"/>
      <c r="L805" s="198"/>
      <c r="M805" s="198"/>
      <c r="N805" s="198"/>
      <c r="O805" s="198"/>
      <c r="P805" s="198"/>
      <c r="Q805" s="198"/>
      <c r="R805" s="198"/>
      <c r="S805" s="198"/>
    </row>
    <row r="806" spans="3:19" x14ac:dyDescent="0.25">
      <c r="C806" s="198"/>
      <c r="D806" s="198"/>
      <c r="E806" s="198"/>
      <c r="F806" s="198"/>
      <c r="G806" s="198"/>
      <c r="H806" s="198"/>
      <c r="I806" s="198"/>
      <c r="J806" s="198"/>
      <c r="K806" s="198"/>
      <c r="L806" s="198"/>
      <c r="M806" s="198"/>
      <c r="N806" s="198"/>
      <c r="O806" s="198"/>
      <c r="P806" s="198"/>
      <c r="Q806" s="198"/>
      <c r="R806" s="198"/>
      <c r="S806" s="198"/>
    </row>
    <row r="807" spans="3:19" x14ac:dyDescent="0.25">
      <c r="C807" s="198"/>
      <c r="D807" s="198"/>
      <c r="E807" s="198"/>
      <c r="F807" s="198"/>
      <c r="G807" s="198"/>
      <c r="H807" s="198"/>
      <c r="I807" s="198"/>
      <c r="J807" s="198"/>
      <c r="K807" s="198"/>
      <c r="L807" s="198"/>
      <c r="M807" s="198"/>
      <c r="N807" s="198"/>
      <c r="O807" s="198"/>
      <c r="P807" s="198"/>
      <c r="Q807" s="198"/>
      <c r="R807" s="198"/>
      <c r="S807" s="198"/>
    </row>
    <row r="808" spans="3:19" x14ac:dyDescent="0.25">
      <c r="C808" s="198"/>
      <c r="D808" s="198"/>
      <c r="E808" s="198"/>
      <c r="F808" s="198"/>
      <c r="G808" s="198"/>
      <c r="H808" s="198"/>
      <c r="I808" s="198"/>
      <c r="J808" s="198"/>
      <c r="K808" s="198"/>
      <c r="L808" s="198"/>
      <c r="M808" s="198"/>
      <c r="N808" s="198"/>
      <c r="O808" s="198"/>
      <c r="P808" s="198"/>
      <c r="Q808" s="198"/>
      <c r="R808" s="198"/>
      <c r="S808" s="198"/>
    </row>
    <row r="809" spans="3:19" x14ac:dyDescent="0.25">
      <c r="C809" s="198"/>
      <c r="D809" s="198"/>
      <c r="E809" s="198"/>
      <c r="F809" s="198"/>
      <c r="G809" s="198"/>
      <c r="H809" s="198"/>
      <c r="I809" s="198"/>
      <c r="J809" s="198"/>
      <c r="K809" s="198"/>
      <c r="L809" s="198"/>
      <c r="M809" s="198"/>
      <c r="N809" s="198"/>
      <c r="O809" s="198"/>
      <c r="P809" s="198"/>
      <c r="Q809" s="198"/>
      <c r="R809" s="198"/>
      <c r="S809" s="198"/>
    </row>
    <row r="810" spans="3:19" x14ac:dyDescent="0.25">
      <c r="C810" s="198"/>
      <c r="D810" s="198"/>
      <c r="E810" s="198"/>
      <c r="F810" s="198"/>
      <c r="G810" s="198"/>
      <c r="H810" s="198"/>
      <c r="I810" s="198"/>
      <c r="J810" s="198"/>
      <c r="K810" s="198"/>
      <c r="L810" s="198"/>
      <c r="M810" s="198"/>
      <c r="N810" s="198"/>
      <c r="O810" s="198"/>
      <c r="P810" s="198"/>
      <c r="Q810" s="198"/>
      <c r="R810" s="198"/>
      <c r="S810" s="198"/>
    </row>
    <row r="811" spans="3:19" x14ac:dyDescent="0.25">
      <c r="C811" s="198"/>
      <c r="D811" s="198"/>
      <c r="E811" s="198"/>
      <c r="F811" s="198"/>
      <c r="G811" s="198"/>
      <c r="H811" s="198"/>
      <c r="I811" s="198"/>
      <c r="J811" s="198"/>
      <c r="K811" s="198"/>
      <c r="L811" s="198"/>
      <c r="M811" s="198"/>
      <c r="N811" s="198"/>
      <c r="O811" s="198"/>
      <c r="P811" s="198"/>
      <c r="Q811" s="198"/>
      <c r="R811" s="198"/>
      <c r="S811" s="198"/>
    </row>
    <row r="812" spans="3:19" x14ac:dyDescent="0.25">
      <c r="C812" s="198"/>
      <c r="D812" s="198"/>
      <c r="E812" s="198"/>
      <c r="F812" s="198"/>
      <c r="G812" s="198"/>
      <c r="H812" s="198"/>
      <c r="I812" s="198"/>
      <c r="J812" s="198"/>
      <c r="K812" s="198"/>
      <c r="L812" s="198"/>
      <c r="M812" s="198"/>
      <c r="N812" s="198"/>
      <c r="O812" s="198"/>
      <c r="P812" s="198"/>
      <c r="Q812" s="198"/>
      <c r="R812" s="198"/>
      <c r="S812" s="198"/>
    </row>
    <row r="813" spans="3:19" x14ac:dyDescent="0.25">
      <c r="C813" s="198"/>
      <c r="D813" s="198"/>
      <c r="E813" s="198"/>
      <c r="F813" s="198"/>
      <c r="G813" s="198"/>
      <c r="H813" s="198"/>
      <c r="I813" s="198"/>
      <c r="J813" s="198"/>
      <c r="K813" s="198"/>
      <c r="L813" s="198"/>
      <c r="M813" s="198"/>
      <c r="N813" s="198"/>
      <c r="O813" s="198"/>
      <c r="P813" s="198"/>
      <c r="Q813" s="198"/>
      <c r="R813" s="198"/>
      <c r="S813" s="198"/>
    </row>
    <row r="814" spans="3:19" x14ac:dyDescent="0.25">
      <c r="C814" s="198"/>
      <c r="D814" s="198"/>
      <c r="E814" s="198"/>
      <c r="F814" s="198"/>
      <c r="G814" s="198"/>
      <c r="H814" s="198"/>
      <c r="I814" s="198"/>
      <c r="J814" s="198"/>
      <c r="K814" s="198"/>
      <c r="L814" s="198"/>
      <c r="M814" s="198"/>
      <c r="N814" s="198"/>
      <c r="O814" s="198"/>
      <c r="P814" s="198"/>
      <c r="Q814" s="198"/>
      <c r="R814" s="198"/>
      <c r="S814" s="198"/>
    </row>
    <row r="815" spans="3:19" x14ac:dyDescent="0.25">
      <c r="C815" s="198"/>
      <c r="D815" s="198"/>
      <c r="E815" s="198"/>
      <c r="F815" s="198"/>
      <c r="G815" s="198"/>
      <c r="H815" s="198"/>
      <c r="I815" s="198"/>
      <c r="J815" s="198"/>
      <c r="K815" s="198"/>
      <c r="L815" s="198"/>
      <c r="M815" s="198"/>
      <c r="N815" s="198"/>
      <c r="O815" s="198"/>
      <c r="P815" s="198"/>
      <c r="Q815" s="198"/>
      <c r="R815" s="198"/>
      <c r="S815" s="198"/>
    </row>
    <row r="816" spans="3:19" x14ac:dyDescent="0.25">
      <c r="C816" s="198"/>
      <c r="D816" s="198"/>
      <c r="E816" s="198"/>
      <c r="F816" s="198"/>
      <c r="G816" s="198"/>
      <c r="H816" s="198"/>
      <c r="I816" s="198"/>
      <c r="J816" s="198"/>
      <c r="K816" s="198"/>
      <c r="L816" s="198"/>
      <c r="M816" s="198"/>
      <c r="N816" s="198"/>
      <c r="O816" s="198"/>
      <c r="P816" s="198"/>
      <c r="Q816" s="198"/>
      <c r="R816" s="198"/>
      <c r="S816" s="198"/>
    </row>
    <row r="817" spans="3:19" x14ac:dyDescent="0.25">
      <c r="C817" s="198"/>
      <c r="D817" s="198"/>
      <c r="E817" s="198"/>
      <c r="F817" s="198"/>
      <c r="G817" s="198"/>
      <c r="H817" s="198"/>
      <c r="I817" s="198"/>
      <c r="J817" s="198"/>
      <c r="K817" s="198"/>
      <c r="L817" s="198"/>
      <c r="M817" s="198"/>
      <c r="N817" s="198"/>
      <c r="O817" s="198"/>
      <c r="P817" s="198"/>
      <c r="Q817" s="198"/>
      <c r="R817" s="198"/>
      <c r="S817" s="198"/>
    </row>
    <row r="818" spans="3:19" x14ac:dyDescent="0.25">
      <c r="C818" s="198"/>
      <c r="D818" s="198"/>
      <c r="E818" s="198"/>
      <c r="F818" s="198"/>
      <c r="G818" s="198"/>
      <c r="H818" s="198"/>
      <c r="I818" s="198"/>
      <c r="J818" s="198"/>
      <c r="K818" s="198"/>
      <c r="L818" s="198"/>
      <c r="M818" s="198"/>
      <c r="N818" s="198"/>
      <c r="O818" s="198"/>
      <c r="P818" s="198"/>
      <c r="Q818" s="198"/>
      <c r="R818" s="198"/>
      <c r="S818" s="198"/>
    </row>
    <row r="819" spans="3:19" x14ac:dyDescent="0.25">
      <c r="C819" s="198"/>
      <c r="D819" s="198"/>
      <c r="E819" s="198"/>
      <c r="F819" s="198"/>
      <c r="G819" s="198"/>
      <c r="H819" s="198"/>
      <c r="I819" s="198"/>
      <c r="J819" s="198"/>
      <c r="K819" s="198"/>
      <c r="L819" s="198"/>
      <c r="M819" s="198"/>
      <c r="N819" s="198"/>
      <c r="O819" s="198"/>
      <c r="P819" s="198"/>
      <c r="Q819" s="198"/>
      <c r="R819" s="198"/>
      <c r="S819" s="198"/>
    </row>
    <row r="820" spans="3:19" x14ac:dyDescent="0.25">
      <c r="C820" s="198"/>
      <c r="D820" s="198"/>
      <c r="E820" s="198"/>
      <c r="F820" s="198"/>
      <c r="G820" s="198"/>
      <c r="H820" s="198"/>
      <c r="I820" s="198"/>
      <c r="J820" s="198"/>
      <c r="K820" s="198"/>
      <c r="L820" s="198"/>
      <c r="M820" s="198"/>
      <c r="N820" s="198"/>
      <c r="O820" s="198"/>
      <c r="P820" s="198"/>
      <c r="Q820" s="198"/>
      <c r="R820" s="198"/>
      <c r="S820" s="198"/>
    </row>
    <row r="821" spans="3:19" x14ac:dyDescent="0.25">
      <c r="C821" s="198"/>
      <c r="D821" s="198"/>
      <c r="E821" s="198"/>
      <c r="F821" s="198"/>
      <c r="G821" s="198"/>
      <c r="H821" s="198"/>
      <c r="I821" s="198"/>
      <c r="J821" s="198"/>
      <c r="K821" s="198"/>
      <c r="L821" s="198"/>
      <c r="M821" s="198"/>
      <c r="N821" s="198"/>
      <c r="O821" s="198"/>
      <c r="P821" s="198"/>
      <c r="Q821" s="198"/>
      <c r="R821" s="198"/>
      <c r="S821" s="198"/>
    </row>
    <row r="822" spans="3:19" x14ac:dyDescent="0.25">
      <c r="C822" s="198"/>
      <c r="D822" s="198"/>
      <c r="E822" s="198"/>
      <c r="F822" s="198"/>
      <c r="G822" s="198"/>
      <c r="H822" s="198"/>
      <c r="I822" s="198"/>
      <c r="J822" s="198"/>
      <c r="K822" s="198"/>
      <c r="L822" s="198"/>
      <c r="M822" s="198"/>
      <c r="N822" s="198"/>
      <c r="O822" s="198"/>
      <c r="P822" s="198"/>
      <c r="Q822" s="198"/>
      <c r="R822" s="198"/>
      <c r="S822" s="198"/>
    </row>
    <row r="823" spans="3:19" x14ac:dyDescent="0.25">
      <c r="C823" s="198"/>
      <c r="D823" s="198"/>
      <c r="E823" s="198"/>
      <c r="F823" s="198"/>
      <c r="G823" s="198"/>
      <c r="H823" s="198"/>
      <c r="I823" s="198"/>
      <c r="J823" s="198"/>
      <c r="K823" s="198"/>
      <c r="L823" s="198"/>
      <c r="M823" s="198"/>
      <c r="N823" s="198"/>
      <c r="O823" s="198"/>
      <c r="P823" s="198"/>
      <c r="Q823" s="198"/>
      <c r="R823" s="198"/>
      <c r="S823" s="198"/>
    </row>
    <row r="824" spans="3:19" x14ac:dyDescent="0.25">
      <c r="C824" s="198"/>
      <c r="D824" s="198"/>
      <c r="E824" s="198"/>
      <c r="F824" s="198"/>
      <c r="G824" s="198"/>
      <c r="H824" s="198"/>
      <c r="I824" s="198"/>
      <c r="J824" s="198"/>
      <c r="K824" s="198"/>
      <c r="L824" s="198"/>
      <c r="M824" s="198"/>
      <c r="N824" s="198"/>
      <c r="O824" s="198"/>
      <c r="P824" s="198"/>
      <c r="Q824" s="198"/>
      <c r="R824" s="198"/>
      <c r="S824" s="198"/>
    </row>
    <row r="825" spans="3:19" x14ac:dyDescent="0.25">
      <c r="C825" s="198"/>
      <c r="D825" s="198"/>
      <c r="E825" s="198"/>
      <c r="F825" s="198"/>
      <c r="G825" s="198"/>
      <c r="H825" s="198"/>
      <c r="I825" s="198"/>
      <c r="J825" s="198"/>
      <c r="K825" s="198"/>
      <c r="L825" s="198"/>
      <c r="M825" s="198"/>
      <c r="N825" s="198"/>
      <c r="O825" s="198"/>
      <c r="P825" s="198"/>
      <c r="Q825" s="198"/>
      <c r="R825" s="198"/>
      <c r="S825" s="198"/>
    </row>
    <row r="826" spans="3:19" x14ac:dyDescent="0.25">
      <c r="C826" s="198"/>
      <c r="D826" s="198"/>
      <c r="E826" s="198"/>
      <c r="F826" s="198"/>
      <c r="G826" s="198"/>
      <c r="H826" s="198"/>
      <c r="I826" s="198"/>
      <c r="J826" s="198"/>
      <c r="K826" s="198"/>
      <c r="L826" s="198"/>
      <c r="M826" s="198"/>
      <c r="N826" s="198"/>
      <c r="O826" s="198"/>
      <c r="P826" s="198"/>
      <c r="Q826" s="198"/>
      <c r="R826" s="198"/>
      <c r="S826" s="198"/>
    </row>
    <row r="827" spans="3:19" x14ac:dyDescent="0.25">
      <c r="C827" s="198"/>
      <c r="D827" s="198"/>
      <c r="E827" s="198"/>
      <c r="F827" s="198"/>
      <c r="G827" s="198"/>
      <c r="H827" s="198"/>
      <c r="I827" s="198"/>
      <c r="J827" s="198"/>
      <c r="K827" s="198"/>
      <c r="L827" s="198"/>
      <c r="M827" s="198"/>
      <c r="N827" s="198"/>
      <c r="O827" s="198"/>
      <c r="P827" s="198"/>
      <c r="Q827" s="198"/>
      <c r="R827" s="198"/>
      <c r="S827" s="198"/>
    </row>
    <row r="828" spans="3:19" x14ac:dyDescent="0.25">
      <c r="C828" s="198"/>
      <c r="D828" s="198"/>
      <c r="E828" s="198"/>
      <c r="F828" s="198"/>
      <c r="G828" s="198"/>
      <c r="H828" s="198"/>
      <c r="I828" s="198"/>
      <c r="J828" s="198"/>
      <c r="K828" s="198"/>
      <c r="L828" s="198"/>
      <c r="M828" s="198"/>
      <c r="N828" s="198"/>
      <c r="O828" s="198"/>
      <c r="P828" s="198"/>
      <c r="Q828" s="198"/>
      <c r="R828" s="198"/>
      <c r="S828" s="198"/>
    </row>
    <row r="829" spans="3:19" x14ac:dyDescent="0.25">
      <c r="C829" s="198"/>
      <c r="D829" s="198"/>
      <c r="E829" s="198"/>
      <c r="F829" s="198"/>
      <c r="G829" s="198"/>
      <c r="H829" s="198"/>
      <c r="I829" s="198"/>
      <c r="J829" s="198"/>
      <c r="K829" s="198"/>
      <c r="L829" s="198"/>
      <c r="M829" s="198"/>
      <c r="N829" s="198"/>
      <c r="O829" s="198"/>
      <c r="P829" s="198"/>
      <c r="Q829" s="198"/>
      <c r="R829" s="198"/>
      <c r="S829" s="198"/>
    </row>
    <row r="830" spans="3:19" x14ac:dyDescent="0.25">
      <c r="C830" s="198"/>
      <c r="D830" s="198"/>
      <c r="E830" s="198"/>
      <c r="F830" s="198"/>
      <c r="G830" s="198"/>
      <c r="H830" s="198"/>
      <c r="I830" s="198"/>
      <c r="J830" s="198"/>
      <c r="K830" s="198"/>
      <c r="L830" s="198"/>
      <c r="M830" s="198"/>
      <c r="N830" s="198"/>
      <c r="O830" s="198"/>
      <c r="P830" s="198"/>
      <c r="Q830" s="198"/>
      <c r="R830" s="198"/>
      <c r="S830" s="198"/>
    </row>
    <row r="831" spans="3:19" x14ac:dyDescent="0.25">
      <c r="C831" s="198"/>
      <c r="D831" s="198"/>
      <c r="E831" s="198"/>
      <c r="F831" s="198"/>
      <c r="G831" s="198"/>
      <c r="H831" s="198"/>
      <c r="I831" s="198"/>
      <c r="J831" s="198"/>
      <c r="K831" s="198"/>
      <c r="L831" s="198"/>
      <c r="M831" s="198"/>
      <c r="N831" s="198"/>
      <c r="O831" s="198"/>
      <c r="P831" s="198"/>
      <c r="Q831" s="198"/>
      <c r="R831" s="198"/>
      <c r="S831" s="198"/>
    </row>
    <row r="832" spans="3:19" x14ac:dyDescent="0.25">
      <c r="C832" s="198"/>
      <c r="D832" s="198"/>
      <c r="E832" s="198"/>
      <c r="F832" s="198"/>
      <c r="G832" s="198"/>
      <c r="H832" s="198"/>
      <c r="I832" s="198"/>
      <c r="J832" s="198"/>
      <c r="K832" s="198"/>
      <c r="L832" s="198"/>
      <c r="M832" s="198"/>
      <c r="N832" s="198"/>
      <c r="O832" s="198"/>
      <c r="P832" s="198"/>
      <c r="Q832" s="198"/>
      <c r="R832" s="198"/>
      <c r="S832" s="198"/>
    </row>
    <row r="833" spans="3:19" x14ac:dyDescent="0.25">
      <c r="C833" s="198"/>
      <c r="D833" s="198"/>
      <c r="E833" s="198"/>
      <c r="F833" s="198"/>
      <c r="G833" s="198"/>
      <c r="H833" s="198"/>
      <c r="I833" s="198"/>
      <c r="J833" s="198"/>
      <c r="K833" s="198"/>
      <c r="L833" s="198"/>
      <c r="M833" s="198"/>
      <c r="N833" s="198"/>
      <c r="O833" s="198"/>
      <c r="P833" s="198"/>
      <c r="Q833" s="198"/>
      <c r="R833" s="198"/>
      <c r="S833" s="198"/>
    </row>
    <row r="834" spans="3:19" x14ac:dyDescent="0.25">
      <c r="C834" s="198"/>
      <c r="D834" s="198"/>
      <c r="E834" s="198"/>
      <c r="F834" s="198"/>
      <c r="G834" s="198"/>
      <c r="H834" s="198"/>
      <c r="I834" s="198"/>
      <c r="J834" s="198"/>
      <c r="K834" s="198"/>
      <c r="L834" s="198"/>
      <c r="M834" s="198"/>
      <c r="N834" s="198"/>
      <c r="O834" s="198"/>
      <c r="P834" s="198"/>
      <c r="Q834" s="198"/>
      <c r="R834" s="198"/>
      <c r="S834" s="198"/>
    </row>
    <row r="835" spans="3:19" x14ac:dyDescent="0.25">
      <c r="C835" s="198"/>
      <c r="D835" s="198"/>
      <c r="E835" s="198"/>
      <c r="F835" s="198"/>
      <c r="G835" s="198"/>
      <c r="H835" s="198"/>
      <c r="I835" s="198"/>
      <c r="J835" s="198"/>
      <c r="K835" s="198"/>
      <c r="L835" s="198"/>
      <c r="M835" s="198"/>
      <c r="N835" s="198"/>
      <c r="O835" s="198"/>
      <c r="P835" s="198"/>
      <c r="Q835" s="198"/>
      <c r="R835" s="198"/>
      <c r="S835" s="198"/>
    </row>
    <row r="836" spans="3:19" x14ac:dyDescent="0.25">
      <c r="C836" s="198"/>
      <c r="D836" s="198"/>
      <c r="E836" s="198"/>
      <c r="F836" s="198"/>
      <c r="G836" s="198"/>
      <c r="H836" s="198"/>
      <c r="I836" s="198"/>
      <c r="J836" s="198"/>
      <c r="K836" s="198"/>
      <c r="L836" s="198"/>
      <c r="M836" s="198"/>
      <c r="N836" s="198"/>
      <c r="O836" s="198"/>
      <c r="P836" s="198"/>
      <c r="Q836" s="198"/>
      <c r="R836" s="198"/>
      <c r="S836" s="198"/>
    </row>
    <row r="837" spans="3:19" x14ac:dyDescent="0.25">
      <c r="C837" s="198"/>
      <c r="D837" s="198"/>
      <c r="E837" s="198"/>
      <c r="F837" s="198"/>
      <c r="G837" s="198"/>
      <c r="H837" s="198"/>
      <c r="I837" s="198"/>
      <c r="J837" s="198"/>
      <c r="K837" s="198"/>
      <c r="L837" s="198"/>
      <c r="M837" s="198"/>
      <c r="N837" s="198"/>
      <c r="O837" s="198"/>
      <c r="P837" s="198"/>
      <c r="Q837" s="198"/>
      <c r="R837" s="198"/>
      <c r="S837" s="198"/>
    </row>
    <row r="838" spans="3:19" x14ac:dyDescent="0.25">
      <c r="C838" s="198"/>
      <c r="D838" s="198"/>
      <c r="E838" s="198"/>
      <c r="F838" s="198"/>
      <c r="G838" s="198"/>
      <c r="H838" s="198"/>
      <c r="I838" s="198"/>
      <c r="J838" s="198"/>
      <c r="K838" s="198"/>
      <c r="L838" s="198"/>
      <c r="M838" s="198"/>
      <c r="N838" s="198"/>
      <c r="O838" s="198"/>
      <c r="P838" s="198"/>
      <c r="Q838" s="198"/>
      <c r="R838" s="198"/>
      <c r="S838" s="198"/>
    </row>
    <row r="839" spans="3:19" x14ac:dyDescent="0.25">
      <c r="C839" s="198"/>
      <c r="D839" s="198"/>
      <c r="E839" s="198"/>
      <c r="F839" s="198"/>
      <c r="G839" s="198"/>
      <c r="H839" s="198"/>
      <c r="I839" s="198"/>
      <c r="J839" s="198"/>
      <c r="K839" s="198"/>
      <c r="L839" s="198"/>
      <c r="M839" s="198"/>
      <c r="N839" s="198"/>
      <c r="O839" s="198"/>
      <c r="P839" s="198"/>
      <c r="Q839" s="198"/>
      <c r="R839" s="198"/>
      <c r="S839" s="198"/>
    </row>
    <row r="840" spans="3:19" x14ac:dyDescent="0.25">
      <c r="C840" s="198"/>
      <c r="D840" s="198"/>
      <c r="E840" s="198"/>
      <c r="F840" s="198"/>
      <c r="G840" s="198"/>
      <c r="H840" s="198"/>
      <c r="I840" s="198"/>
      <c r="J840" s="198"/>
      <c r="K840" s="198"/>
      <c r="L840" s="198"/>
      <c r="M840" s="198"/>
      <c r="N840" s="198"/>
      <c r="O840" s="198"/>
      <c r="P840" s="198"/>
      <c r="Q840" s="198"/>
      <c r="R840" s="198"/>
      <c r="S840" s="198"/>
    </row>
    <row r="841" spans="3:19" x14ac:dyDescent="0.25">
      <c r="C841" s="198"/>
      <c r="D841" s="198"/>
      <c r="E841" s="198"/>
      <c r="F841" s="198"/>
      <c r="G841" s="198"/>
      <c r="H841" s="198"/>
      <c r="I841" s="198"/>
      <c r="J841" s="198"/>
      <c r="K841" s="198"/>
      <c r="L841" s="198"/>
      <c r="M841" s="198"/>
      <c r="N841" s="198"/>
      <c r="O841" s="198"/>
      <c r="P841" s="198"/>
      <c r="Q841" s="198"/>
      <c r="R841" s="198"/>
      <c r="S841" s="198"/>
    </row>
    <row r="842" spans="3:19" x14ac:dyDescent="0.25">
      <c r="C842" s="198"/>
      <c r="D842" s="198"/>
      <c r="E842" s="198"/>
      <c r="F842" s="198"/>
      <c r="G842" s="198"/>
      <c r="H842" s="198"/>
      <c r="I842" s="198"/>
      <c r="J842" s="198"/>
      <c r="K842" s="198"/>
      <c r="L842" s="198"/>
      <c r="M842" s="198"/>
      <c r="N842" s="198"/>
      <c r="O842" s="198"/>
      <c r="P842" s="198"/>
      <c r="Q842" s="198"/>
      <c r="R842" s="198"/>
      <c r="S842" s="198"/>
    </row>
    <row r="843" spans="3:19" x14ac:dyDescent="0.25">
      <c r="C843" s="198"/>
      <c r="D843" s="198"/>
      <c r="E843" s="198"/>
      <c r="F843" s="198"/>
      <c r="G843" s="198"/>
      <c r="H843" s="198"/>
      <c r="I843" s="198"/>
      <c r="J843" s="198"/>
      <c r="K843" s="198"/>
      <c r="L843" s="198"/>
      <c r="M843" s="198"/>
      <c r="N843" s="198"/>
      <c r="O843" s="198"/>
      <c r="P843" s="198"/>
      <c r="Q843" s="198"/>
      <c r="R843" s="198"/>
      <c r="S843" s="198"/>
    </row>
    <row r="844" spans="3:19" x14ac:dyDescent="0.25">
      <c r="C844" s="198"/>
      <c r="D844" s="198"/>
      <c r="E844" s="198"/>
      <c r="F844" s="198"/>
      <c r="G844" s="198"/>
      <c r="H844" s="198"/>
      <c r="I844" s="198"/>
      <c r="J844" s="198"/>
      <c r="K844" s="198"/>
      <c r="L844" s="198"/>
      <c r="M844" s="198"/>
      <c r="N844" s="198"/>
      <c r="O844" s="198"/>
      <c r="P844" s="198"/>
      <c r="Q844" s="198"/>
      <c r="R844" s="198"/>
      <c r="S844" s="198"/>
    </row>
    <row r="845" spans="3:19" x14ac:dyDescent="0.25">
      <c r="C845" s="198"/>
      <c r="D845" s="198"/>
      <c r="E845" s="198"/>
      <c r="F845" s="198"/>
      <c r="G845" s="198"/>
      <c r="H845" s="198"/>
      <c r="I845" s="198"/>
      <c r="J845" s="198"/>
      <c r="K845" s="198"/>
      <c r="L845" s="198"/>
      <c r="M845" s="198"/>
      <c r="N845" s="198"/>
      <c r="O845" s="198"/>
      <c r="P845" s="198"/>
      <c r="Q845" s="198"/>
      <c r="R845" s="198"/>
      <c r="S845" s="198"/>
    </row>
    <row r="846" spans="3:19" x14ac:dyDescent="0.25">
      <c r="C846" s="198"/>
      <c r="D846" s="198"/>
      <c r="E846" s="198"/>
      <c r="F846" s="198"/>
      <c r="G846" s="198"/>
      <c r="H846" s="198"/>
      <c r="I846" s="198"/>
      <c r="J846" s="198"/>
      <c r="K846" s="198"/>
      <c r="L846" s="198"/>
      <c r="M846" s="198"/>
      <c r="N846" s="198"/>
      <c r="O846" s="198"/>
      <c r="P846" s="198"/>
      <c r="Q846" s="198"/>
      <c r="R846" s="198"/>
      <c r="S846" s="198"/>
    </row>
    <row r="847" spans="3:19" x14ac:dyDescent="0.25">
      <c r="C847" s="198"/>
      <c r="D847" s="198"/>
      <c r="E847" s="198"/>
      <c r="F847" s="198"/>
      <c r="G847" s="198"/>
      <c r="H847" s="198"/>
      <c r="I847" s="198"/>
      <c r="J847" s="198"/>
      <c r="K847" s="198"/>
      <c r="L847" s="198"/>
      <c r="M847" s="198"/>
      <c r="N847" s="198"/>
      <c r="O847" s="198"/>
      <c r="P847" s="198"/>
      <c r="Q847" s="198"/>
      <c r="R847" s="198"/>
      <c r="S847" s="198"/>
    </row>
    <row r="848" spans="3:19" x14ac:dyDescent="0.25">
      <c r="C848" s="198"/>
      <c r="D848" s="198"/>
      <c r="E848" s="198"/>
      <c r="F848" s="198"/>
      <c r="G848" s="198"/>
      <c r="H848" s="198"/>
      <c r="I848" s="198"/>
      <c r="J848" s="198"/>
      <c r="K848" s="198"/>
      <c r="L848" s="198"/>
      <c r="M848" s="198"/>
      <c r="N848" s="198"/>
      <c r="O848" s="198"/>
      <c r="P848" s="198"/>
      <c r="Q848" s="198"/>
      <c r="R848" s="198"/>
      <c r="S848" s="198"/>
    </row>
    <row r="849" spans="3:19" x14ac:dyDescent="0.25">
      <c r="C849" s="198"/>
      <c r="D849" s="198"/>
      <c r="E849" s="198"/>
      <c r="F849" s="198"/>
      <c r="G849" s="198"/>
      <c r="H849" s="198"/>
      <c r="I849" s="198"/>
      <c r="J849" s="198"/>
      <c r="K849" s="198"/>
      <c r="L849" s="198"/>
      <c r="M849" s="198"/>
      <c r="N849" s="198"/>
      <c r="O849" s="198"/>
      <c r="P849" s="198"/>
      <c r="Q849" s="198"/>
      <c r="R849" s="198"/>
      <c r="S849" s="198"/>
    </row>
    <row r="850" spans="3:19" x14ac:dyDescent="0.25">
      <c r="C850" s="198"/>
      <c r="D850" s="198"/>
      <c r="E850" s="198"/>
      <c r="F850" s="198"/>
      <c r="G850" s="198"/>
      <c r="H850" s="198"/>
      <c r="I850" s="198"/>
      <c r="J850" s="198"/>
      <c r="K850" s="198"/>
      <c r="L850" s="198"/>
      <c r="M850" s="198"/>
      <c r="N850" s="198"/>
      <c r="O850" s="198"/>
      <c r="P850" s="198"/>
      <c r="Q850" s="198"/>
      <c r="R850" s="198"/>
      <c r="S850" s="198"/>
    </row>
    <row r="851" spans="3:19" x14ac:dyDescent="0.25">
      <c r="C851" s="198"/>
      <c r="D851" s="198"/>
      <c r="E851" s="198"/>
      <c r="F851" s="198"/>
      <c r="G851" s="198"/>
      <c r="H851" s="198"/>
      <c r="I851" s="198"/>
      <c r="J851" s="198"/>
      <c r="K851" s="198"/>
      <c r="L851" s="198"/>
      <c r="M851" s="198"/>
      <c r="N851" s="198"/>
      <c r="O851" s="198"/>
      <c r="P851" s="198"/>
      <c r="Q851" s="198"/>
      <c r="R851" s="198"/>
      <c r="S851" s="198"/>
    </row>
    <row r="852" spans="3:19" x14ac:dyDescent="0.25">
      <c r="C852" s="198"/>
      <c r="D852" s="198"/>
      <c r="E852" s="198"/>
      <c r="F852" s="198"/>
      <c r="G852" s="198"/>
      <c r="H852" s="198"/>
      <c r="I852" s="198"/>
      <c r="J852" s="198"/>
      <c r="K852" s="198"/>
      <c r="L852" s="198"/>
      <c r="M852" s="198"/>
      <c r="N852" s="198"/>
      <c r="O852" s="198"/>
      <c r="P852" s="198"/>
      <c r="Q852" s="198"/>
      <c r="R852" s="198"/>
      <c r="S852" s="198"/>
    </row>
    <row r="853" spans="3:19" x14ac:dyDescent="0.25">
      <c r="C853" s="198"/>
      <c r="D853" s="198"/>
      <c r="E853" s="198"/>
      <c r="F853" s="198"/>
      <c r="G853" s="198"/>
      <c r="H853" s="198"/>
      <c r="I853" s="198"/>
      <c r="J853" s="198"/>
      <c r="K853" s="198"/>
      <c r="L853" s="198"/>
      <c r="M853" s="198"/>
      <c r="N853" s="198"/>
      <c r="O853" s="198"/>
      <c r="P853" s="198"/>
      <c r="Q853" s="198"/>
      <c r="R853" s="198"/>
      <c r="S853" s="198"/>
    </row>
    <row r="854" spans="3:19" x14ac:dyDescent="0.25">
      <c r="C854" s="198"/>
      <c r="D854" s="198"/>
      <c r="E854" s="198"/>
      <c r="F854" s="198"/>
      <c r="G854" s="198"/>
      <c r="H854" s="198"/>
      <c r="I854" s="198"/>
      <c r="J854" s="198"/>
      <c r="K854" s="198"/>
      <c r="L854" s="198"/>
      <c r="M854" s="198"/>
      <c r="N854" s="198"/>
      <c r="O854" s="198"/>
      <c r="P854" s="198"/>
      <c r="Q854" s="198"/>
      <c r="R854" s="198"/>
      <c r="S854" s="198"/>
    </row>
    <row r="855" spans="3:19" x14ac:dyDescent="0.25">
      <c r="C855" s="198"/>
      <c r="D855" s="198"/>
      <c r="E855" s="198"/>
      <c r="F855" s="198"/>
      <c r="G855" s="198"/>
      <c r="H855" s="198"/>
      <c r="I855" s="198"/>
      <c r="J855" s="198"/>
      <c r="K855" s="198"/>
      <c r="L855" s="198"/>
      <c r="M855" s="198"/>
      <c r="N855" s="198"/>
      <c r="O855" s="198"/>
      <c r="P855" s="198"/>
      <c r="Q855" s="198"/>
      <c r="R855" s="198"/>
      <c r="S855" s="198"/>
    </row>
    <row r="856" spans="3:19" x14ac:dyDescent="0.25">
      <c r="C856" s="198"/>
      <c r="D856" s="198"/>
      <c r="E856" s="198"/>
      <c r="F856" s="198"/>
      <c r="G856" s="198"/>
      <c r="H856" s="198"/>
      <c r="I856" s="198"/>
      <c r="J856" s="198"/>
      <c r="K856" s="198"/>
      <c r="L856" s="198"/>
      <c r="M856" s="198"/>
      <c r="N856" s="198"/>
      <c r="O856" s="198"/>
      <c r="P856" s="198"/>
      <c r="Q856" s="198"/>
      <c r="R856" s="198"/>
      <c r="S856" s="198"/>
    </row>
    <row r="857" spans="3:19" x14ac:dyDescent="0.25">
      <c r="C857" s="198"/>
      <c r="D857" s="198"/>
      <c r="E857" s="198"/>
      <c r="F857" s="198"/>
      <c r="G857" s="198"/>
      <c r="H857" s="198"/>
      <c r="I857" s="198"/>
      <c r="J857" s="198"/>
      <c r="K857" s="198"/>
      <c r="L857" s="198"/>
      <c r="M857" s="198"/>
      <c r="N857" s="198"/>
      <c r="O857" s="198"/>
      <c r="P857" s="198"/>
      <c r="Q857" s="198"/>
      <c r="R857" s="198"/>
      <c r="S857" s="198"/>
    </row>
    <row r="858" spans="3:19" x14ac:dyDescent="0.25">
      <c r="C858" s="198"/>
      <c r="D858" s="198"/>
      <c r="E858" s="198"/>
      <c r="F858" s="198"/>
      <c r="G858" s="198"/>
      <c r="H858" s="198"/>
      <c r="I858" s="198"/>
      <c r="J858" s="198"/>
      <c r="K858" s="198"/>
      <c r="L858" s="198"/>
      <c r="M858" s="198"/>
      <c r="N858" s="198"/>
      <c r="O858" s="198"/>
      <c r="P858" s="198"/>
      <c r="Q858" s="198"/>
      <c r="R858" s="198"/>
      <c r="S858" s="198"/>
    </row>
    <row r="859" spans="3:19" x14ac:dyDescent="0.25">
      <c r="C859" s="198"/>
      <c r="D859" s="198"/>
      <c r="E859" s="198"/>
      <c r="F859" s="198"/>
      <c r="G859" s="198"/>
      <c r="H859" s="198"/>
      <c r="I859" s="198"/>
      <c r="J859" s="198"/>
      <c r="K859" s="198"/>
      <c r="L859" s="198"/>
      <c r="M859" s="198"/>
      <c r="N859" s="198"/>
      <c r="O859" s="198"/>
      <c r="P859" s="198"/>
      <c r="Q859" s="198"/>
      <c r="R859" s="198"/>
      <c r="S859" s="198"/>
    </row>
    <row r="860" spans="3:19" x14ac:dyDescent="0.25">
      <c r="C860" s="198"/>
      <c r="D860" s="198"/>
      <c r="E860" s="198"/>
      <c r="F860" s="198"/>
      <c r="G860" s="198"/>
      <c r="H860" s="198"/>
      <c r="I860" s="198"/>
      <c r="J860" s="198"/>
      <c r="K860" s="198"/>
      <c r="L860" s="198"/>
      <c r="M860" s="198"/>
      <c r="N860" s="198"/>
      <c r="O860" s="198"/>
      <c r="P860" s="198"/>
      <c r="Q860" s="198"/>
      <c r="R860" s="198"/>
      <c r="S860" s="198"/>
    </row>
    <row r="861" spans="3:19" x14ac:dyDescent="0.25">
      <c r="C861" s="198"/>
      <c r="D861" s="198"/>
      <c r="E861" s="198"/>
      <c r="F861" s="198"/>
      <c r="G861" s="198"/>
      <c r="H861" s="198"/>
      <c r="I861" s="198"/>
      <c r="J861" s="198"/>
      <c r="K861" s="198"/>
      <c r="L861" s="198"/>
      <c r="M861" s="198"/>
      <c r="N861" s="198"/>
      <c r="O861" s="198"/>
      <c r="P861" s="198"/>
      <c r="Q861" s="198"/>
      <c r="R861" s="198"/>
      <c r="S861" s="198"/>
    </row>
    <row r="862" spans="3:19" x14ac:dyDescent="0.25">
      <c r="C862" s="198"/>
      <c r="D862" s="198"/>
      <c r="E862" s="198"/>
      <c r="F862" s="198"/>
      <c r="G862" s="198"/>
      <c r="H862" s="198"/>
      <c r="I862" s="198"/>
      <c r="J862" s="198"/>
      <c r="K862" s="198"/>
      <c r="L862" s="198"/>
      <c r="M862" s="198"/>
      <c r="N862" s="198"/>
      <c r="O862" s="198"/>
      <c r="P862" s="198"/>
      <c r="Q862" s="198"/>
      <c r="R862" s="198"/>
      <c r="S862" s="198"/>
    </row>
    <row r="863" spans="3:19" x14ac:dyDescent="0.25">
      <c r="C863" s="198"/>
      <c r="D863" s="198"/>
      <c r="E863" s="198"/>
      <c r="F863" s="198"/>
      <c r="G863" s="198"/>
      <c r="H863" s="198"/>
      <c r="I863" s="198"/>
      <c r="J863" s="198"/>
      <c r="K863" s="198"/>
      <c r="L863" s="198"/>
      <c r="M863" s="198"/>
      <c r="N863" s="198"/>
      <c r="O863" s="198"/>
      <c r="P863" s="198"/>
      <c r="Q863" s="198"/>
      <c r="R863" s="198"/>
      <c r="S863" s="198"/>
    </row>
    <row r="864" spans="3:19" x14ac:dyDescent="0.25">
      <c r="C864" s="198"/>
      <c r="D864" s="198"/>
      <c r="E864" s="198"/>
      <c r="F864" s="198"/>
      <c r="G864" s="198"/>
      <c r="H864" s="198"/>
      <c r="I864" s="198"/>
      <c r="J864" s="198"/>
      <c r="K864" s="198"/>
      <c r="L864" s="198"/>
      <c r="M864" s="198"/>
      <c r="N864" s="198"/>
      <c r="O864" s="198"/>
      <c r="P864" s="198"/>
      <c r="Q864" s="198"/>
      <c r="R864" s="198"/>
      <c r="S864" s="198"/>
    </row>
    <row r="865" spans="3:19" x14ac:dyDescent="0.25">
      <c r="C865" s="198"/>
      <c r="D865" s="198"/>
      <c r="E865" s="198"/>
      <c r="F865" s="198"/>
      <c r="G865" s="198"/>
      <c r="H865" s="198"/>
      <c r="I865" s="198"/>
      <c r="J865" s="198"/>
      <c r="K865" s="198"/>
      <c r="L865" s="198"/>
      <c r="M865" s="198"/>
      <c r="N865" s="198"/>
      <c r="O865" s="198"/>
      <c r="P865" s="198"/>
      <c r="Q865" s="198"/>
      <c r="R865" s="198"/>
      <c r="S865" s="198"/>
    </row>
    <row r="866" spans="3:19" x14ac:dyDescent="0.25">
      <c r="C866" s="198"/>
      <c r="D866" s="198"/>
      <c r="E866" s="198"/>
      <c r="F866" s="198"/>
      <c r="G866" s="198"/>
      <c r="H866" s="198"/>
      <c r="I866" s="198"/>
      <c r="J866" s="198"/>
      <c r="K866" s="198"/>
      <c r="L866" s="198"/>
      <c r="M866" s="198"/>
      <c r="N866" s="198"/>
      <c r="O866" s="198"/>
      <c r="P866" s="198"/>
      <c r="Q866" s="198"/>
      <c r="R866" s="198"/>
      <c r="S866" s="198"/>
    </row>
    <row r="867" spans="3:19" x14ac:dyDescent="0.25">
      <c r="C867" s="198"/>
      <c r="D867" s="198"/>
      <c r="E867" s="198"/>
      <c r="F867" s="198"/>
      <c r="G867" s="198"/>
      <c r="H867" s="198"/>
      <c r="I867" s="198"/>
      <c r="J867" s="198"/>
      <c r="K867" s="198"/>
      <c r="L867" s="198"/>
      <c r="M867" s="198"/>
      <c r="N867" s="198"/>
      <c r="O867" s="198"/>
      <c r="P867" s="198"/>
      <c r="Q867" s="198"/>
      <c r="R867" s="198"/>
      <c r="S867" s="198"/>
    </row>
    <row r="868" spans="3:19" x14ac:dyDescent="0.25">
      <c r="C868" s="198"/>
      <c r="D868" s="198"/>
      <c r="E868" s="198"/>
      <c r="F868" s="198"/>
      <c r="G868" s="198"/>
      <c r="H868" s="198"/>
      <c r="I868" s="198"/>
      <c r="J868" s="198"/>
      <c r="K868" s="198"/>
      <c r="L868" s="198"/>
      <c r="M868" s="198"/>
      <c r="N868" s="198"/>
      <c r="O868" s="198"/>
      <c r="P868" s="198"/>
      <c r="Q868" s="198"/>
      <c r="R868" s="198"/>
      <c r="S868" s="198"/>
    </row>
    <row r="869" spans="3:19" x14ac:dyDescent="0.25">
      <c r="C869" s="198"/>
      <c r="D869" s="198"/>
      <c r="E869" s="198"/>
      <c r="F869" s="198"/>
      <c r="G869" s="198"/>
      <c r="H869" s="198"/>
      <c r="I869" s="198"/>
      <c r="J869" s="198"/>
      <c r="K869" s="198"/>
      <c r="L869" s="198"/>
      <c r="M869" s="198"/>
      <c r="N869" s="198"/>
      <c r="O869" s="198"/>
      <c r="P869" s="198"/>
      <c r="Q869" s="198"/>
      <c r="R869" s="198"/>
      <c r="S869" s="198"/>
    </row>
    <row r="870" spans="3:19" x14ac:dyDescent="0.25">
      <c r="C870" s="198"/>
      <c r="D870" s="198"/>
      <c r="E870" s="198"/>
      <c r="F870" s="198"/>
      <c r="G870" s="198"/>
      <c r="H870" s="198"/>
      <c r="I870" s="198"/>
      <c r="J870" s="198"/>
      <c r="K870" s="198"/>
      <c r="L870" s="198"/>
      <c r="M870" s="198"/>
      <c r="N870" s="198"/>
      <c r="O870" s="198"/>
      <c r="P870" s="198"/>
      <c r="Q870" s="198"/>
      <c r="R870" s="198"/>
      <c r="S870" s="198"/>
    </row>
    <row r="871" spans="3:19" x14ac:dyDescent="0.25">
      <c r="C871" s="198"/>
      <c r="D871" s="198"/>
      <c r="E871" s="198"/>
      <c r="F871" s="198"/>
      <c r="G871" s="198"/>
      <c r="H871" s="198"/>
      <c r="I871" s="198"/>
      <c r="J871" s="198"/>
      <c r="K871" s="198"/>
      <c r="L871" s="198"/>
      <c r="M871" s="198"/>
      <c r="N871" s="198"/>
      <c r="O871" s="198"/>
      <c r="P871" s="198"/>
      <c r="Q871" s="198"/>
      <c r="R871" s="198"/>
      <c r="S871" s="198"/>
    </row>
    <row r="872" spans="3:19" x14ac:dyDescent="0.25">
      <c r="C872" s="198"/>
      <c r="D872" s="198"/>
      <c r="E872" s="198"/>
      <c r="F872" s="198"/>
      <c r="G872" s="198"/>
      <c r="H872" s="198"/>
      <c r="I872" s="198"/>
      <c r="J872" s="198"/>
      <c r="K872" s="198"/>
      <c r="L872" s="198"/>
      <c r="M872" s="198"/>
      <c r="N872" s="198"/>
      <c r="O872" s="198"/>
      <c r="P872" s="198"/>
      <c r="Q872" s="198"/>
      <c r="R872" s="198"/>
      <c r="S872" s="198"/>
    </row>
    <row r="873" spans="3:19" x14ac:dyDescent="0.25">
      <c r="C873" s="198"/>
      <c r="D873" s="198"/>
      <c r="E873" s="198"/>
      <c r="F873" s="198"/>
      <c r="G873" s="198"/>
      <c r="H873" s="198"/>
      <c r="I873" s="198"/>
      <c r="J873" s="198"/>
      <c r="K873" s="198"/>
      <c r="L873" s="198"/>
      <c r="M873" s="198"/>
      <c r="N873" s="198"/>
      <c r="O873" s="198"/>
      <c r="P873" s="198"/>
      <c r="Q873" s="198"/>
      <c r="R873" s="198"/>
      <c r="S873" s="198"/>
    </row>
    <row r="874" spans="3:19" x14ac:dyDescent="0.25">
      <c r="C874" s="198"/>
      <c r="D874" s="198"/>
      <c r="E874" s="198"/>
      <c r="F874" s="198"/>
      <c r="G874" s="198"/>
      <c r="H874" s="198"/>
      <c r="I874" s="198"/>
      <c r="J874" s="198"/>
      <c r="K874" s="198"/>
      <c r="L874" s="198"/>
      <c r="M874" s="198"/>
      <c r="N874" s="198"/>
      <c r="O874" s="198"/>
      <c r="P874" s="198"/>
      <c r="Q874" s="198"/>
      <c r="R874" s="198"/>
      <c r="S874" s="198"/>
    </row>
    <row r="875" spans="3:19" x14ac:dyDescent="0.25">
      <c r="C875" s="198"/>
      <c r="D875" s="198"/>
      <c r="E875" s="198"/>
      <c r="F875" s="198"/>
      <c r="G875" s="198"/>
      <c r="H875" s="198"/>
      <c r="I875" s="198"/>
      <c r="J875" s="198"/>
      <c r="K875" s="198"/>
      <c r="L875" s="198"/>
      <c r="M875" s="198"/>
      <c r="N875" s="198"/>
      <c r="O875" s="198"/>
      <c r="P875" s="198"/>
      <c r="Q875" s="198"/>
      <c r="R875" s="198"/>
      <c r="S875" s="198"/>
    </row>
    <row r="876" spans="3:19" x14ac:dyDescent="0.25">
      <c r="C876" s="198"/>
      <c r="D876" s="198"/>
      <c r="E876" s="198"/>
      <c r="F876" s="198"/>
      <c r="G876" s="198"/>
      <c r="H876" s="198"/>
      <c r="I876" s="198"/>
      <c r="J876" s="198"/>
      <c r="K876" s="198"/>
      <c r="L876" s="198"/>
      <c r="M876" s="198"/>
      <c r="N876" s="198"/>
      <c r="O876" s="198"/>
      <c r="P876" s="198"/>
      <c r="Q876" s="198"/>
      <c r="R876" s="198"/>
      <c r="S876" s="198"/>
    </row>
    <row r="877" spans="3:19" x14ac:dyDescent="0.25">
      <c r="C877" s="198"/>
      <c r="D877" s="198"/>
      <c r="E877" s="198"/>
      <c r="F877" s="198"/>
      <c r="G877" s="198"/>
      <c r="H877" s="198"/>
      <c r="I877" s="198"/>
      <c r="J877" s="198"/>
      <c r="K877" s="198"/>
      <c r="L877" s="198"/>
      <c r="M877" s="198"/>
      <c r="N877" s="198"/>
      <c r="O877" s="198"/>
      <c r="P877" s="198"/>
      <c r="Q877" s="198"/>
      <c r="R877" s="198"/>
      <c r="S877" s="198"/>
    </row>
    <row r="878" spans="3:19" x14ac:dyDescent="0.25">
      <c r="C878" s="198"/>
      <c r="D878" s="198"/>
      <c r="E878" s="198"/>
      <c r="F878" s="198"/>
      <c r="G878" s="198"/>
      <c r="H878" s="198"/>
      <c r="I878" s="198"/>
      <c r="J878" s="198"/>
      <c r="K878" s="198"/>
      <c r="L878" s="198"/>
      <c r="M878" s="198"/>
      <c r="N878" s="198"/>
      <c r="O878" s="198"/>
      <c r="P878" s="198"/>
      <c r="Q878" s="198"/>
      <c r="R878" s="198"/>
      <c r="S878" s="198"/>
    </row>
    <row r="879" spans="3:19" x14ac:dyDescent="0.25">
      <c r="C879" s="198"/>
      <c r="D879" s="198"/>
      <c r="E879" s="198"/>
      <c r="F879" s="198"/>
      <c r="G879" s="198"/>
      <c r="H879" s="198"/>
      <c r="I879" s="198"/>
      <c r="J879" s="198"/>
      <c r="K879" s="198"/>
      <c r="L879" s="198"/>
      <c r="M879" s="198"/>
      <c r="N879" s="198"/>
      <c r="O879" s="198"/>
      <c r="P879" s="198"/>
      <c r="Q879" s="198"/>
      <c r="R879" s="198"/>
      <c r="S879" s="198"/>
    </row>
    <row r="880" spans="3:19" x14ac:dyDescent="0.25">
      <c r="C880" s="198"/>
      <c r="D880" s="198"/>
      <c r="E880" s="198"/>
      <c r="F880" s="198"/>
      <c r="G880" s="198"/>
      <c r="H880" s="198"/>
      <c r="I880" s="198"/>
      <c r="J880" s="198"/>
      <c r="K880" s="198"/>
      <c r="L880" s="198"/>
      <c r="M880" s="198"/>
      <c r="N880" s="198"/>
      <c r="O880" s="198"/>
      <c r="P880" s="198"/>
      <c r="Q880" s="198"/>
      <c r="R880" s="198"/>
      <c r="S880" s="198"/>
    </row>
    <row r="881" spans="3:19" x14ac:dyDescent="0.25">
      <c r="C881" s="198"/>
      <c r="D881" s="198"/>
      <c r="E881" s="198"/>
      <c r="F881" s="198"/>
      <c r="G881" s="198"/>
      <c r="H881" s="198"/>
      <c r="I881" s="198"/>
      <c r="J881" s="198"/>
      <c r="K881" s="198"/>
      <c r="L881" s="198"/>
      <c r="M881" s="198"/>
      <c r="N881" s="198"/>
      <c r="O881" s="198"/>
      <c r="P881" s="198"/>
      <c r="Q881" s="198"/>
      <c r="R881" s="198"/>
      <c r="S881" s="198"/>
    </row>
    <row r="882" spans="3:19" x14ac:dyDescent="0.25">
      <c r="C882" s="198"/>
      <c r="D882" s="198"/>
      <c r="E882" s="198"/>
      <c r="F882" s="198"/>
      <c r="G882" s="198"/>
      <c r="H882" s="198"/>
      <c r="I882" s="198"/>
      <c r="J882" s="198"/>
      <c r="K882" s="198"/>
      <c r="L882" s="198"/>
      <c r="M882" s="198"/>
      <c r="N882" s="198"/>
      <c r="O882" s="198"/>
      <c r="P882" s="198"/>
      <c r="Q882" s="198"/>
      <c r="R882" s="198"/>
      <c r="S882" s="198"/>
    </row>
    <row r="883" spans="3:19" x14ac:dyDescent="0.25">
      <c r="C883" s="198"/>
      <c r="D883" s="198"/>
      <c r="E883" s="198"/>
      <c r="F883" s="198"/>
      <c r="G883" s="198"/>
      <c r="H883" s="198"/>
      <c r="I883" s="198"/>
      <c r="J883" s="198"/>
      <c r="K883" s="198"/>
      <c r="L883" s="198"/>
      <c r="M883" s="198"/>
      <c r="N883" s="198"/>
      <c r="O883" s="198"/>
      <c r="P883" s="198"/>
      <c r="Q883" s="198"/>
      <c r="R883" s="198"/>
      <c r="S883" s="198"/>
    </row>
    <row r="884" spans="3:19" x14ac:dyDescent="0.25">
      <c r="C884" s="198"/>
      <c r="D884" s="198"/>
      <c r="E884" s="198"/>
      <c r="F884" s="198"/>
      <c r="G884" s="198"/>
      <c r="H884" s="198"/>
      <c r="I884" s="198"/>
      <c r="J884" s="198"/>
      <c r="K884" s="198"/>
      <c r="L884" s="198"/>
      <c r="M884" s="198"/>
      <c r="N884" s="198"/>
      <c r="O884" s="198"/>
      <c r="P884" s="198"/>
      <c r="Q884" s="198"/>
      <c r="R884" s="198"/>
      <c r="S884" s="198"/>
    </row>
    <row r="885" spans="3:19" x14ac:dyDescent="0.25">
      <c r="C885" s="198"/>
      <c r="D885" s="198"/>
      <c r="E885" s="198"/>
      <c r="F885" s="198"/>
      <c r="G885" s="198"/>
      <c r="H885" s="198"/>
      <c r="I885" s="198"/>
      <c r="J885" s="198"/>
      <c r="K885" s="198"/>
      <c r="L885" s="198"/>
      <c r="M885" s="198"/>
      <c r="N885" s="198"/>
      <c r="O885" s="198"/>
      <c r="P885" s="198"/>
      <c r="Q885" s="198"/>
      <c r="R885" s="198"/>
      <c r="S885" s="198"/>
    </row>
    <row r="886" spans="3:19" x14ac:dyDescent="0.25">
      <c r="C886" s="198"/>
      <c r="D886" s="198"/>
      <c r="E886" s="198"/>
      <c r="F886" s="198"/>
      <c r="G886" s="198"/>
      <c r="H886" s="198"/>
      <c r="I886" s="198"/>
      <c r="J886" s="198"/>
      <c r="K886" s="198"/>
      <c r="L886" s="198"/>
      <c r="M886" s="198"/>
      <c r="N886" s="198"/>
      <c r="O886" s="198"/>
      <c r="P886" s="198"/>
      <c r="Q886" s="198"/>
      <c r="R886" s="198"/>
      <c r="S886" s="198"/>
    </row>
    <row r="887" spans="3:19" x14ac:dyDescent="0.25">
      <c r="C887" s="198"/>
      <c r="D887" s="198"/>
      <c r="E887" s="198"/>
      <c r="F887" s="198"/>
      <c r="G887" s="198"/>
      <c r="H887" s="198"/>
      <c r="I887" s="198"/>
      <c r="J887" s="198"/>
      <c r="K887" s="198"/>
      <c r="L887" s="198"/>
      <c r="M887" s="198"/>
      <c r="N887" s="198"/>
      <c r="O887" s="198"/>
      <c r="P887" s="198"/>
      <c r="Q887" s="198"/>
      <c r="R887" s="198"/>
      <c r="S887" s="198"/>
    </row>
    <row r="888" spans="3:19" x14ac:dyDescent="0.25">
      <c r="C888" s="198"/>
      <c r="D888" s="198"/>
      <c r="E888" s="198"/>
      <c r="F888" s="198"/>
      <c r="G888" s="198"/>
      <c r="H888" s="198"/>
      <c r="I888" s="198"/>
      <c r="J888" s="198"/>
      <c r="K888" s="198"/>
      <c r="L888" s="198"/>
      <c r="M888" s="198"/>
      <c r="N888" s="198"/>
      <c r="O888" s="198"/>
      <c r="P888" s="198"/>
      <c r="Q888" s="198"/>
      <c r="R888" s="198"/>
      <c r="S888" s="198"/>
    </row>
    <row r="889" spans="3:19" x14ac:dyDescent="0.25">
      <c r="C889" s="198"/>
      <c r="D889" s="198"/>
      <c r="E889" s="198"/>
      <c r="F889" s="198"/>
      <c r="G889" s="198"/>
      <c r="H889" s="198"/>
      <c r="I889" s="198"/>
      <c r="J889" s="198"/>
      <c r="K889" s="198"/>
      <c r="L889" s="198"/>
      <c r="M889" s="198"/>
      <c r="N889" s="198"/>
      <c r="O889" s="198"/>
      <c r="P889" s="198"/>
      <c r="Q889" s="198"/>
      <c r="R889" s="198"/>
      <c r="S889" s="198"/>
    </row>
    <row r="890" spans="3:19" x14ac:dyDescent="0.25">
      <c r="C890" s="198"/>
      <c r="D890" s="198"/>
      <c r="E890" s="198"/>
      <c r="F890" s="198"/>
      <c r="G890" s="198"/>
      <c r="H890" s="198"/>
      <c r="I890" s="198"/>
      <c r="J890" s="198"/>
      <c r="K890" s="198"/>
      <c r="L890" s="198"/>
      <c r="M890" s="198"/>
      <c r="N890" s="198"/>
      <c r="O890" s="198"/>
      <c r="P890" s="198"/>
      <c r="Q890" s="198"/>
      <c r="R890" s="198"/>
      <c r="S890" s="198"/>
    </row>
    <row r="891" spans="3:19" x14ac:dyDescent="0.25">
      <c r="C891" s="198"/>
      <c r="D891" s="198"/>
      <c r="E891" s="198"/>
      <c r="F891" s="198"/>
      <c r="G891" s="198"/>
      <c r="H891" s="198"/>
      <c r="I891" s="198"/>
      <c r="J891" s="198"/>
      <c r="K891" s="198"/>
      <c r="L891" s="198"/>
      <c r="M891" s="198"/>
      <c r="N891" s="198"/>
      <c r="O891" s="198"/>
      <c r="P891" s="198"/>
      <c r="Q891" s="198"/>
      <c r="R891" s="198"/>
      <c r="S891" s="198"/>
    </row>
    <row r="892" spans="3:19" x14ac:dyDescent="0.25">
      <c r="C892" s="198"/>
      <c r="D892" s="198"/>
      <c r="E892" s="198"/>
      <c r="F892" s="198"/>
      <c r="G892" s="198"/>
      <c r="H892" s="198"/>
      <c r="I892" s="198"/>
      <c r="J892" s="198"/>
      <c r="K892" s="198"/>
      <c r="L892" s="198"/>
      <c r="M892" s="198"/>
      <c r="N892" s="198"/>
      <c r="O892" s="198"/>
      <c r="P892" s="198"/>
      <c r="Q892" s="198"/>
      <c r="R892" s="198"/>
      <c r="S892" s="198"/>
    </row>
    <row r="893" spans="3:19" x14ac:dyDescent="0.25">
      <c r="C893" s="198"/>
      <c r="D893" s="198"/>
      <c r="E893" s="198"/>
      <c r="F893" s="198"/>
      <c r="G893" s="198"/>
      <c r="H893" s="198"/>
      <c r="I893" s="198"/>
      <c r="J893" s="198"/>
      <c r="K893" s="198"/>
      <c r="L893" s="198"/>
      <c r="M893" s="198"/>
      <c r="N893" s="198"/>
      <c r="O893" s="198"/>
      <c r="P893" s="198"/>
      <c r="Q893" s="198"/>
      <c r="R893" s="198"/>
      <c r="S893" s="198"/>
    </row>
    <row r="894" spans="3:19" x14ac:dyDescent="0.25">
      <c r="C894" s="198"/>
      <c r="D894" s="198"/>
      <c r="E894" s="198"/>
      <c r="F894" s="198"/>
      <c r="G894" s="198"/>
      <c r="H894" s="198"/>
      <c r="I894" s="198"/>
      <c r="J894" s="198"/>
      <c r="K894" s="198"/>
      <c r="L894" s="198"/>
      <c r="M894" s="198"/>
      <c r="N894" s="198"/>
      <c r="O894" s="198"/>
      <c r="P894" s="198"/>
      <c r="Q894" s="198"/>
      <c r="R894" s="198"/>
      <c r="S894" s="198"/>
    </row>
    <row r="895" spans="3:19" x14ac:dyDescent="0.25">
      <c r="C895" s="198"/>
      <c r="D895" s="198"/>
      <c r="E895" s="198"/>
      <c r="F895" s="198"/>
      <c r="G895" s="198"/>
      <c r="H895" s="198"/>
      <c r="I895" s="198"/>
      <c r="J895" s="198"/>
      <c r="K895" s="198"/>
      <c r="L895" s="198"/>
      <c r="M895" s="198"/>
      <c r="N895" s="198"/>
      <c r="O895" s="198"/>
      <c r="P895" s="198"/>
      <c r="Q895" s="198"/>
      <c r="R895" s="198"/>
      <c r="S895" s="198"/>
    </row>
    <row r="896" spans="3:19" x14ac:dyDescent="0.25">
      <c r="C896" s="198"/>
      <c r="D896" s="198"/>
      <c r="E896" s="198"/>
      <c r="F896" s="198"/>
      <c r="G896" s="198"/>
      <c r="H896" s="198"/>
      <c r="I896" s="198"/>
      <c r="J896" s="198"/>
      <c r="K896" s="198"/>
      <c r="L896" s="198"/>
      <c r="M896" s="198"/>
      <c r="N896" s="198"/>
      <c r="O896" s="198"/>
      <c r="P896" s="198"/>
      <c r="Q896" s="198"/>
      <c r="R896" s="198"/>
      <c r="S896" s="198"/>
    </row>
    <row r="897" spans="3:19" x14ac:dyDescent="0.25">
      <c r="C897" s="198"/>
      <c r="D897" s="198"/>
      <c r="E897" s="198"/>
      <c r="F897" s="198"/>
      <c r="G897" s="198"/>
      <c r="H897" s="198"/>
      <c r="I897" s="198"/>
      <c r="J897" s="198"/>
      <c r="K897" s="198"/>
      <c r="L897" s="198"/>
      <c r="M897" s="198"/>
      <c r="N897" s="198"/>
      <c r="O897" s="198"/>
      <c r="P897" s="198"/>
      <c r="Q897" s="198"/>
      <c r="R897" s="198"/>
      <c r="S897" s="198"/>
    </row>
    <row r="898" spans="3:19" x14ac:dyDescent="0.25">
      <c r="C898" s="198"/>
      <c r="D898" s="198"/>
      <c r="E898" s="198"/>
      <c r="F898" s="198"/>
      <c r="G898" s="198"/>
      <c r="H898" s="198"/>
      <c r="I898" s="198"/>
      <c r="J898" s="198"/>
      <c r="K898" s="198"/>
      <c r="L898" s="198"/>
      <c r="M898" s="198"/>
      <c r="N898" s="198"/>
      <c r="O898" s="198"/>
      <c r="P898" s="198"/>
      <c r="Q898" s="198"/>
      <c r="R898" s="198"/>
      <c r="S898" s="198"/>
    </row>
    <row r="899" spans="3:19" x14ac:dyDescent="0.25">
      <c r="C899" s="198"/>
      <c r="D899" s="198"/>
      <c r="E899" s="198"/>
      <c r="F899" s="198"/>
      <c r="G899" s="198"/>
      <c r="H899" s="198"/>
      <c r="I899" s="198"/>
      <c r="J899" s="198"/>
      <c r="K899" s="198"/>
      <c r="L899" s="198"/>
      <c r="M899" s="198"/>
      <c r="N899" s="198"/>
      <c r="O899" s="198"/>
      <c r="P899" s="198"/>
      <c r="Q899" s="198"/>
      <c r="R899" s="198"/>
      <c r="S899" s="198"/>
    </row>
    <row r="900" spans="3:19" x14ac:dyDescent="0.25">
      <c r="C900" s="198"/>
      <c r="D900" s="198"/>
      <c r="E900" s="198"/>
      <c r="F900" s="198"/>
      <c r="G900" s="198"/>
      <c r="H900" s="198"/>
      <c r="I900" s="198"/>
      <c r="J900" s="198"/>
      <c r="K900" s="198"/>
      <c r="L900" s="198"/>
      <c r="M900" s="198"/>
      <c r="N900" s="198"/>
      <c r="O900" s="198"/>
      <c r="P900" s="198"/>
      <c r="Q900" s="198"/>
      <c r="R900" s="198"/>
      <c r="S900" s="198"/>
    </row>
    <row r="901" spans="3:19" x14ac:dyDescent="0.25">
      <c r="C901" s="198"/>
      <c r="D901" s="198"/>
      <c r="E901" s="198"/>
      <c r="F901" s="198"/>
      <c r="G901" s="198"/>
      <c r="H901" s="198"/>
      <c r="I901" s="198"/>
      <c r="J901" s="198"/>
      <c r="K901" s="198"/>
      <c r="L901" s="198"/>
      <c r="M901" s="198"/>
      <c r="N901" s="198"/>
      <c r="O901" s="198"/>
      <c r="P901" s="198"/>
      <c r="Q901" s="198"/>
      <c r="R901" s="198"/>
      <c r="S901" s="198"/>
    </row>
    <row r="902" spans="3:19" x14ac:dyDescent="0.25">
      <c r="C902" s="198"/>
      <c r="D902" s="198"/>
      <c r="E902" s="198"/>
      <c r="F902" s="198"/>
      <c r="G902" s="198"/>
      <c r="H902" s="198"/>
      <c r="I902" s="198"/>
      <c r="J902" s="198"/>
      <c r="K902" s="198"/>
      <c r="L902" s="198"/>
      <c r="M902" s="198"/>
      <c r="N902" s="198"/>
      <c r="O902" s="198"/>
      <c r="P902" s="198"/>
      <c r="Q902" s="198"/>
      <c r="R902" s="198"/>
      <c r="S902" s="198"/>
    </row>
    <row r="903" spans="3:19" x14ac:dyDescent="0.25">
      <c r="C903" s="198"/>
      <c r="D903" s="198"/>
      <c r="E903" s="198"/>
      <c r="F903" s="198"/>
      <c r="G903" s="198"/>
      <c r="H903" s="198"/>
      <c r="I903" s="198"/>
      <c r="J903" s="198"/>
      <c r="K903" s="198"/>
      <c r="L903" s="198"/>
      <c r="M903" s="198"/>
      <c r="N903" s="198"/>
      <c r="O903" s="198"/>
      <c r="P903" s="198"/>
      <c r="Q903" s="198"/>
      <c r="R903" s="198"/>
      <c r="S903" s="198"/>
    </row>
    <row r="904" spans="3:19" x14ac:dyDescent="0.25">
      <c r="C904" s="198"/>
      <c r="D904" s="198"/>
      <c r="E904" s="198"/>
      <c r="F904" s="198"/>
      <c r="G904" s="198"/>
      <c r="H904" s="198"/>
      <c r="I904" s="198"/>
      <c r="J904" s="198"/>
      <c r="K904" s="198"/>
      <c r="L904" s="198"/>
      <c r="M904" s="198"/>
      <c r="N904" s="198"/>
      <c r="O904" s="198"/>
      <c r="P904" s="198"/>
      <c r="Q904" s="198"/>
      <c r="R904" s="198"/>
      <c r="S904" s="198"/>
    </row>
    <row r="905" spans="3:19" x14ac:dyDescent="0.25">
      <c r="C905" s="198"/>
      <c r="D905" s="198"/>
      <c r="E905" s="198"/>
      <c r="F905" s="198"/>
      <c r="G905" s="198"/>
      <c r="H905" s="198"/>
      <c r="I905" s="198"/>
      <c r="J905" s="198"/>
      <c r="K905" s="198"/>
      <c r="L905" s="198"/>
      <c r="M905" s="198"/>
      <c r="N905" s="198"/>
      <c r="O905" s="198"/>
      <c r="P905" s="198"/>
      <c r="Q905" s="198"/>
      <c r="R905" s="198"/>
      <c r="S905" s="198"/>
    </row>
    <row r="906" spans="3:19" x14ac:dyDescent="0.25">
      <c r="C906" s="198"/>
      <c r="D906" s="198"/>
      <c r="E906" s="198"/>
      <c r="F906" s="198"/>
      <c r="G906" s="198"/>
      <c r="H906" s="198"/>
      <c r="I906" s="198"/>
      <c r="J906" s="198"/>
      <c r="K906" s="198"/>
      <c r="L906" s="198"/>
      <c r="M906" s="198"/>
      <c r="N906" s="198"/>
      <c r="O906" s="198"/>
      <c r="P906" s="198"/>
      <c r="Q906" s="198"/>
      <c r="R906" s="198"/>
      <c r="S906" s="198"/>
    </row>
    <row r="907" spans="3:19" x14ac:dyDescent="0.25">
      <c r="C907" s="198"/>
      <c r="D907" s="198"/>
      <c r="E907" s="198"/>
      <c r="F907" s="198"/>
      <c r="G907" s="198"/>
      <c r="H907" s="198"/>
      <c r="I907" s="198"/>
      <c r="J907" s="198"/>
      <c r="K907" s="198"/>
      <c r="L907" s="198"/>
      <c r="M907" s="198"/>
      <c r="N907" s="198"/>
      <c r="O907" s="198"/>
      <c r="P907" s="198"/>
      <c r="Q907" s="198"/>
      <c r="R907" s="198"/>
      <c r="S907" s="198"/>
    </row>
    <row r="908" spans="3:19" x14ac:dyDescent="0.25">
      <c r="C908" s="198"/>
      <c r="D908" s="198"/>
      <c r="E908" s="198"/>
      <c r="F908" s="198"/>
      <c r="G908" s="198"/>
      <c r="H908" s="198"/>
      <c r="I908" s="198"/>
      <c r="J908" s="198"/>
      <c r="K908" s="198"/>
      <c r="L908" s="198"/>
      <c r="M908" s="198"/>
      <c r="N908" s="198"/>
      <c r="O908" s="198"/>
      <c r="P908" s="198"/>
      <c r="Q908" s="198"/>
      <c r="R908" s="198"/>
      <c r="S908" s="198"/>
    </row>
    <row r="909" spans="3:19" x14ac:dyDescent="0.25">
      <c r="C909" s="198"/>
      <c r="D909" s="198"/>
      <c r="E909" s="198"/>
      <c r="F909" s="198"/>
      <c r="G909" s="198"/>
      <c r="H909" s="198"/>
      <c r="I909" s="198"/>
      <c r="J909" s="198"/>
      <c r="K909" s="198"/>
      <c r="L909" s="198"/>
      <c r="M909" s="198"/>
      <c r="N909" s="198"/>
      <c r="O909" s="198"/>
      <c r="P909" s="198"/>
      <c r="Q909" s="198"/>
      <c r="R909" s="198"/>
      <c r="S909" s="198"/>
    </row>
    <row r="910" spans="3:19" x14ac:dyDescent="0.25">
      <c r="C910" s="198"/>
      <c r="D910" s="198"/>
      <c r="E910" s="198"/>
      <c r="F910" s="198"/>
      <c r="G910" s="198"/>
      <c r="H910" s="198"/>
      <c r="I910" s="198"/>
      <c r="J910" s="198"/>
      <c r="K910" s="198"/>
      <c r="L910" s="198"/>
      <c r="M910" s="198"/>
      <c r="N910" s="198"/>
      <c r="O910" s="198"/>
      <c r="P910" s="198"/>
      <c r="Q910" s="198"/>
      <c r="R910" s="198"/>
      <c r="S910" s="198"/>
    </row>
    <row r="911" spans="3:19" x14ac:dyDescent="0.25">
      <c r="C911" s="198"/>
      <c r="D911" s="198"/>
      <c r="E911" s="198"/>
      <c r="F911" s="198"/>
      <c r="G911" s="198"/>
      <c r="H911" s="198"/>
      <c r="I911" s="198"/>
      <c r="J911" s="198"/>
      <c r="K911" s="198"/>
      <c r="L911" s="198"/>
      <c r="M911" s="198"/>
      <c r="N911" s="198"/>
      <c r="O911" s="198"/>
      <c r="P911" s="198"/>
      <c r="Q911" s="198"/>
      <c r="R911" s="198"/>
      <c r="S911" s="198"/>
    </row>
    <row r="912" spans="3:19" x14ac:dyDescent="0.25">
      <c r="C912" s="198"/>
      <c r="D912" s="198"/>
      <c r="E912" s="198"/>
      <c r="F912" s="198"/>
      <c r="G912" s="198"/>
      <c r="H912" s="198"/>
      <c r="I912" s="198"/>
      <c r="J912" s="198"/>
      <c r="K912" s="198"/>
      <c r="L912" s="198"/>
      <c r="M912" s="198"/>
      <c r="N912" s="198"/>
      <c r="O912" s="198"/>
      <c r="P912" s="198"/>
      <c r="Q912" s="198"/>
      <c r="R912" s="198"/>
      <c r="S912" s="198"/>
    </row>
    <row r="913" spans="3:19" x14ac:dyDescent="0.25">
      <c r="C913" s="198"/>
      <c r="D913" s="198"/>
      <c r="E913" s="198"/>
      <c r="F913" s="198"/>
      <c r="G913" s="198"/>
      <c r="H913" s="198"/>
      <c r="I913" s="198"/>
      <c r="J913" s="198"/>
      <c r="K913" s="198"/>
      <c r="L913" s="198"/>
      <c r="M913" s="198"/>
      <c r="N913" s="198"/>
      <c r="O913" s="198"/>
      <c r="P913" s="198"/>
      <c r="Q913" s="198"/>
      <c r="R913" s="198"/>
      <c r="S913" s="198"/>
    </row>
    <row r="914" spans="3:19" x14ac:dyDescent="0.25">
      <c r="C914" s="198"/>
      <c r="D914" s="198"/>
      <c r="E914" s="198"/>
      <c r="F914" s="198"/>
      <c r="G914" s="198"/>
      <c r="H914" s="198"/>
      <c r="I914" s="198"/>
      <c r="J914" s="198"/>
      <c r="K914" s="198"/>
      <c r="L914" s="198"/>
      <c r="M914" s="198"/>
      <c r="N914" s="198"/>
      <c r="O914" s="198"/>
      <c r="P914" s="198"/>
      <c r="Q914" s="198"/>
      <c r="R914" s="198"/>
      <c r="S914" s="198"/>
    </row>
    <row r="915" spans="3:19" x14ac:dyDescent="0.25">
      <c r="C915" s="198"/>
      <c r="D915" s="198"/>
      <c r="E915" s="198"/>
      <c r="F915" s="198"/>
      <c r="G915" s="198"/>
      <c r="H915" s="198"/>
      <c r="I915" s="198"/>
      <c r="J915" s="198"/>
      <c r="K915" s="198"/>
      <c r="L915" s="198"/>
      <c r="M915" s="198"/>
      <c r="N915" s="198"/>
      <c r="O915" s="198"/>
      <c r="P915" s="198"/>
      <c r="Q915" s="198"/>
      <c r="R915" s="198"/>
      <c r="S915" s="198"/>
    </row>
    <row r="916" spans="3:19" x14ac:dyDescent="0.25">
      <c r="C916" s="198"/>
      <c r="D916" s="198"/>
      <c r="E916" s="198"/>
      <c r="F916" s="198"/>
      <c r="G916" s="198"/>
      <c r="H916" s="198"/>
      <c r="I916" s="198"/>
      <c r="J916" s="198"/>
      <c r="K916" s="198"/>
      <c r="L916" s="198"/>
      <c r="M916" s="198"/>
      <c r="N916" s="198"/>
      <c r="O916" s="198"/>
      <c r="P916" s="198"/>
      <c r="Q916" s="198"/>
      <c r="R916" s="198"/>
      <c r="S916" s="198"/>
    </row>
    <row r="917" spans="3:19" x14ac:dyDescent="0.25">
      <c r="C917" s="198"/>
      <c r="D917" s="198"/>
      <c r="E917" s="198"/>
      <c r="F917" s="198"/>
      <c r="G917" s="198"/>
      <c r="H917" s="198"/>
      <c r="I917" s="198"/>
      <c r="J917" s="198"/>
      <c r="K917" s="198"/>
      <c r="L917" s="198"/>
      <c r="M917" s="198"/>
      <c r="N917" s="198"/>
      <c r="O917" s="198"/>
      <c r="P917" s="198"/>
      <c r="Q917" s="198"/>
      <c r="R917" s="198"/>
      <c r="S917" s="198"/>
    </row>
    <row r="918" spans="3:19" x14ac:dyDescent="0.25">
      <c r="C918" s="198"/>
      <c r="D918" s="198"/>
      <c r="E918" s="198"/>
      <c r="F918" s="198"/>
      <c r="G918" s="198"/>
      <c r="H918" s="198"/>
      <c r="I918" s="198"/>
      <c r="J918" s="198"/>
      <c r="K918" s="198"/>
      <c r="L918" s="198"/>
      <c r="M918" s="198"/>
      <c r="N918" s="198"/>
      <c r="O918" s="198"/>
      <c r="P918" s="198"/>
      <c r="Q918" s="198"/>
      <c r="R918" s="198"/>
      <c r="S918" s="198"/>
    </row>
    <row r="919" spans="3:19" x14ac:dyDescent="0.25">
      <c r="C919" s="198"/>
      <c r="D919" s="198"/>
      <c r="E919" s="198"/>
      <c r="F919" s="198"/>
      <c r="G919" s="198"/>
      <c r="H919" s="198"/>
      <c r="I919" s="198"/>
      <c r="J919" s="198"/>
      <c r="K919" s="198"/>
      <c r="L919" s="198"/>
      <c r="M919" s="198"/>
      <c r="N919" s="198"/>
      <c r="O919" s="198"/>
      <c r="P919" s="198"/>
      <c r="Q919" s="198"/>
      <c r="R919" s="198"/>
      <c r="S919" s="198"/>
    </row>
    <row r="920" spans="3:19" x14ac:dyDescent="0.25">
      <c r="C920" s="198"/>
      <c r="D920" s="198"/>
      <c r="E920" s="198"/>
      <c r="F920" s="198"/>
      <c r="G920" s="198"/>
      <c r="H920" s="198"/>
      <c r="I920" s="198"/>
      <c r="J920" s="198"/>
      <c r="K920" s="198"/>
      <c r="L920" s="198"/>
      <c r="M920" s="198"/>
      <c r="N920" s="198"/>
      <c r="O920" s="198"/>
      <c r="P920" s="198"/>
      <c r="Q920" s="198"/>
      <c r="R920" s="198"/>
      <c r="S920" s="198"/>
    </row>
    <row r="921" spans="3:19" x14ac:dyDescent="0.25">
      <c r="C921" s="198"/>
      <c r="D921" s="198"/>
      <c r="E921" s="198"/>
      <c r="F921" s="198"/>
      <c r="G921" s="198"/>
      <c r="H921" s="198"/>
      <c r="I921" s="198"/>
      <c r="J921" s="198"/>
      <c r="K921" s="198"/>
      <c r="L921" s="198"/>
      <c r="M921" s="198"/>
      <c r="N921" s="198"/>
      <c r="O921" s="198"/>
      <c r="P921" s="198"/>
      <c r="Q921" s="198"/>
      <c r="R921" s="198"/>
      <c r="S921" s="198"/>
    </row>
    <row r="922" spans="3:19" x14ac:dyDescent="0.25">
      <c r="C922" s="198"/>
      <c r="D922" s="198"/>
      <c r="E922" s="198"/>
      <c r="F922" s="198"/>
      <c r="G922" s="198"/>
      <c r="H922" s="198"/>
      <c r="I922" s="198"/>
      <c r="J922" s="198"/>
      <c r="K922" s="198"/>
      <c r="L922" s="198"/>
      <c r="M922" s="198"/>
      <c r="N922" s="198"/>
      <c r="O922" s="198"/>
      <c r="P922" s="198"/>
      <c r="Q922" s="198"/>
      <c r="R922" s="198"/>
      <c r="S922" s="198"/>
    </row>
    <row r="923" spans="3:19" x14ac:dyDescent="0.25">
      <c r="C923" s="198"/>
      <c r="D923" s="198"/>
      <c r="E923" s="198"/>
      <c r="F923" s="198"/>
      <c r="G923" s="198"/>
      <c r="H923" s="198"/>
      <c r="I923" s="198"/>
      <c r="J923" s="198"/>
      <c r="K923" s="198"/>
      <c r="L923" s="198"/>
      <c r="M923" s="198"/>
      <c r="N923" s="198"/>
      <c r="O923" s="198"/>
      <c r="P923" s="198"/>
      <c r="Q923" s="198"/>
      <c r="R923" s="198"/>
      <c r="S923" s="198"/>
    </row>
    <row r="924" spans="3:19" x14ac:dyDescent="0.25">
      <c r="C924" s="198"/>
      <c r="D924" s="198"/>
      <c r="E924" s="198"/>
      <c r="F924" s="198"/>
      <c r="G924" s="198"/>
      <c r="H924" s="198"/>
      <c r="I924" s="198"/>
      <c r="J924" s="198"/>
      <c r="K924" s="198"/>
      <c r="L924" s="198"/>
      <c r="M924" s="198"/>
      <c r="N924" s="198"/>
      <c r="O924" s="198"/>
      <c r="P924" s="198"/>
      <c r="Q924" s="198"/>
      <c r="R924" s="198"/>
      <c r="S924" s="198"/>
    </row>
    <row r="925" spans="3:19" x14ac:dyDescent="0.25">
      <c r="C925" s="198"/>
      <c r="D925" s="198"/>
      <c r="E925" s="198"/>
      <c r="F925" s="198"/>
      <c r="G925" s="198"/>
      <c r="H925" s="198"/>
      <c r="I925" s="198"/>
      <c r="J925" s="198"/>
      <c r="K925" s="198"/>
      <c r="L925" s="198"/>
      <c r="M925" s="198"/>
      <c r="N925" s="198"/>
      <c r="O925" s="198"/>
      <c r="P925" s="198"/>
      <c r="Q925" s="198"/>
      <c r="R925" s="198"/>
      <c r="S925" s="198"/>
    </row>
    <row r="926" spans="3:19" x14ac:dyDescent="0.25">
      <c r="C926" s="198"/>
      <c r="D926" s="198"/>
      <c r="E926" s="198"/>
      <c r="F926" s="198"/>
      <c r="G926" s="198"/>
      <c r="H926" s="198"/>
      <c r="I926" s="198"/>
      <c r="J926" s="198"/>
      <c r="K926" s="198"/>
      <c r="L926" s="198"/>
      <c r="M926" s="198"/>
      <c r="N926" s="198"/>
      <c r="O926" s="198"/>
      <c r="P926" s="198"/>
      <c r="Q926" s="198"/>
      <c r="R926" s="198"/>
      <c r="S926" s="198"/>
    </row>
    <row r="927" spans="3:19" x14ac:dyDescent="0.25">
      <c r="C927" s="198"/>
      <c r="D927" s="198"/>
      <c r="E927" s="198"/>
      <c r="F927" s="198"/>
      <c r="G927" s="198"/>
      <c r="H927" s="198"/>
      <c r="I927" s="198"/>
      <c r="J927" s="198"/>
      <c r="K927" s="198"/>
      <c r="L927" s="198"/>
      <c r="M927" s="198"/>
      <c r="N927" s="198"/>
      <c r="O927" s="198"/>
      <c r="P927" s="198"/>
      <c r="Q927" s="198"/>
      <c r="R927" s="198"/>
      <c r="S927" s="198"/>
    </row>
    <row r="928" spans="3:19" x14ac:dyDescent="0.25">
      <c r="C928" s="198"/>
      <c r="D928" s="198"/>
      <c r="E928" s="198"/>
      <c r="F928" s="198"/>
      <c r="G928" s="198"/>
      <c r="H928" s="198"/>
      <c r="I928" s="198"/>
      <c r="J928" s="198"/>
      <c r="K928" s="198"/>
      <c r="L928" s="198"/>
      <c r="M928" s="198"/>
      <c r="N928" s="198"/>
      <c r="O928" s="198"/>
      <c r="P928" s="198"/>
      <c r="Q928" s="198"/>
      <c r="R928" s="198"/>
      <c r="S928" s="198"/>
    </row>
    <row r="929" spans="3:19" x14ac:dyDescent="0.25">
      <c r="C929" s="198"/>
      <c r="D929" s="198"/>
      <c r="E929" s="198"/>
      <c r="F929" s="198"/>
      <c r="G929" s="198"/>
      <c r="H929" s="198"/>
      <c r="I929" s="198"/>
      <c r="J929" s="198"/>
      <c r="K929" s="198"/>
      <c r="L929" s="198"/>
      <c r="M929" s="198"/>
      <c r="N929" s="198"/>
      <c r="O929" s="198"/>
      <c r="P929" s="198"/>
      <c r="Q929" s="198"/>
      <c r="R929" s="198"/>
      <c r="S929" s="198"/>
    </row>
    <row r="930" spans="3:19" x14ac:dyDescent="0.25">
      <c r="C930" s="198"/>
      <c r="D930" s="198"/>
      <c r="E930" s="198"/>
      <c r="F930" s="198"/>
      <c r="G930" s="198"/>
      <c r="H930" s="198"/>
      <c r="I930" s="198"/>
      <c r="J930" s="198"/>
      <c r="K930" s="198"/>
      <c r="L930" s="198"/>
      <c r="M930" s="198"/>
      <c r="N930" s="198"/>
      <c r="O930" s="198"/>
      <c r="P930" s="198"/>
      <c r="Q930" s="198"/>
      <c r="R930" s="198"/>
      <c r="S930" s="198"/>
    </row>
    <row r="931" spans="3:19" x14ac:dyDescent="0.25">
      <c r="C931" s="198"/>
      <c r="D931" s="198"/>
      <c r="E931" s="198"/>
      <c r="F931" s="198"/>
      <c r="G931" s="198"/>
      <c r="H931" s="198"/>
      <c r="I931" s="198"/>
      <c r="J931" s="198"/>
      <c r="K931" s="198"/>
      <c r="L931" s="198"/>
      <c r="M931" s="198"/>
      <c r="N931" s="198"/>
      <c r="O931" s="198"/>
      <c r="P931" s="198"/>
      <c r="Q931" s="198"/>
      <c r="R931" s="198"/>
      <c r="S931" s="198"/>
    </row>
    <row r="932" spans="3:19" x14ac:dyDescent="0.25">
      <c r="C932" s="198"/>
      <c r="D932" s="198"/>
      <c r="E932" s="198"/>
      <c r="F932" s="198"/>
      <c r="G932" s="198"/>
      <c r="H932" s="198"/>
      <c r="I932" s="198"/>
      <c r="J932" s="198"/>
      <c r="K932" s="198"/>
      <c r="L932" s="198"/>
      <c r="M932" s="198"/>
      <c r="N932" s="198"/>
      <c r="O932" s="198"/>
      <c r="P932" s="198"/>
      <c r="Q932" s="198"/>
      <c r="R932" s="198"/>
      <c r="S932" s="198"/>
    </row>
    <row r="933" spans="3:19" x14ac:dyDescent="0.25">
      <c r="C933" s="198"/>
      <c r="D933" s="198"/>
      <c r="E933" s="198"/>
      <c r="F933" s="198"/>
      <c r="G933" s="198"/>
      <c r="H933" s="198"/>
      <c r="I933" s="198"/>
      <c r="J933" s="198"/>
      <c r="K933" s="198"/>
      <c r="L933" s="198"/>
      <c r="M933" s="198"/>
      <c r="N933" s="198"/>
      <c r="O933" s="198"/>
      <c r="P933" s="198"/>
      <c r="Q933" s="198"/>
      <c r="R933" s="198"/>
      <c r="S933" s="198"/>
    </row>
    <row r="934" spans="3:19" x14ac:dyDescent="0.25">
      <c r="C934" s="198"/>
      <c r="D934" s="198"/>
      <c r="E934" s="198"/>
      <c r="F934" s="198"/>
      <c r="G934" s="198"/>
      <c r="H934" s="198"/>
      <c r="I934" s="198"/>
      <c r="J934" s="198"/>
      <c r="K934" s="198"/>
      <c r="L934" s="198"/>
      <c r="M934" s="198"/>
      <c r="N934" s="198"/>
      <c r="O934" s="198"/>
      <c r="P934" s="198"/>
      <c r="Q934" s="198"/>
      <c r="R934" s="198"/>
      <c r="S934" s="198"/>
    </row>
    <row r="935" spans="3:19" x14ac:dyDescent="0.25">
      <c r="C935" s="198"/>
      <c r="D935" s="198"/>
      <c r="E935" s="198"/>
      <c r="F935" s="198"/>
      <c r="G935" s="198"/>
      <c r="H935" s="198"/>
      <c r="I935" s="198"/>
      <c r="J935" s="198"/>
      <c r="K935" s="198"/>
      <c r="L935" s="198"/>
      <c r="M935" s="198"/>
      <c r="N935" s="198"/>
      <c r="O935" s="198"/>
      <c r="P935" s="198"/>
      <c r="Q935" s="198"/>
      <c r="R935" s="198"/>
      <c r="S935" s="198"/>
    </row>
    <row r="936" spans="3:19" x14ac:dyDescent="0.25">
      <c r="C936" s="198"/>
      <c r="D936" s="198"/>
      <c r="E936" s="198"/>
      <c r="F936" s="198"/>
      <c r="G936" s="198"/>
      <c r="H936" s="198"/>
      <c r="I936" s="198"/>
      <c r="J936" s="198"/>
      <c r="K936" s="198"/>
      <c r="L936" s="198"/>
      <c r="M936" s="198"/>
      <c r="N936" s="198"/>
      <c r="O936" s="198"/>
      <c r="P936" s="198"/>
      <c r="Q936" s="198"/>
      <c r="R936" s="198"/>
      <c r="S936" s="198"/>
    </row>
    <row r="937" spans="3:19" x14ac:dyDescent="0.25">
      <c r="C937" s="198"/>
      <c r="D937" s="198"/>
      <c r="E937" s="198"/>
      <c r="F937" s="198"/>
      <c r="G937" s="198"/>
      <c r="H937" s="198"/>
      <c r="I937" s="198"/>
      <c r="J937" s="198"/>
      <c r="K937" s="198"/>
      <c r="L937" s="198"/>
      <c r="M937" s="198"/>
      <c r="N937" s="198"/>
      <c r="O937" s="198"/>
      <c r="P937" s="198"/>
      <c r="Q937" s="198"/>
      <c r="R937" s="198"/>
      <c r="S937" s="198"/>
    </row>
    <row r="938" spans="3:19" x14ac:dyDescent="0.25">
      <c r="C938" s="198"/>
      <c r="D938" s="198"/>
      <c r="E938" s="198"/>
      <c r="F938" s="198"/>
      <c r="G938" s="198"/>
      <c r="H938" s="198"/>
      <c r="I938" s="198"/>
      <c r="J938" s="198"/>
      <c r="K938" s="198"/>
      <c r="L938" s="198"/>
      <c r="M938" s="198"/>
      <c r="N938" s="198"/>
      <c r="O938" s="198"/>
      <c r="P938" s="198"/>
      <c r="Q938" s="198"/>
      <c r="R938" s="198"/>
      <c r="S938" s="198"/>
    </row>
    <row r="939" spans="3:19" x14ac:dyDescent="0.25">
      <c r="C939" s="198"/>
      <c r="D939" s="198"/>
      <c r="E939" s="198"/>
      <c r="F939" s="198"/>
      <c r="G939" s="198"/>
      <c r="H939" s="198"/>
      <c r="I939" s="198"/>
      <c r="J939" s="198"/>
      <c r="K939" s="198"/>
      <c r="L939" s="198"/>
      <c r="M939" s="198"/>
      <c r="N939" s="198"/>
      <c r="O939" s="198"/>
      <c r="P939" s="198"/>
      <c r="Q939" s="198"/>
      <c r="R939" s="198"/>
      <c r="S939" s="198"/>
    </row>
    <row r="940" spans="3:19" x14ac:dyDescent="0.25">
      <c r="C940" s="198"/>
      <c r="D940" s="198"/>
      <c r="E940" s="198"/>
      <c r="F940" s="198"/>
      <c r="G940" s="198"/>
      <c r="H940" s="198"/>
      <c r="I940" s="198"/>
      <c r="J940" s="198"/>
      <c r="K940" s="198"/>
      <c r="L940" s="198"/>
      <c r="M940" s="198"/>
      <c r="N940" s="198"/>
      <c r="O940" s="198"/>
      <c r="P940" s="198"/>
      <c r="Q940" s="198"/>
      <c r="R940" s="198"/>
      <c r="S940" s="198"/>
    </row>
    <row r="941" spans="3:19" x14ac:dyDescent="0.25">
      <c r="C941" s="198"/>
      <c r="D941" s="198"/>
      <c r="E941" s="198"/>
      <c r="F941" s="198"/>
      <c r="G941" s="198"/>
      <c r="H941" s="198"/>
      <c r="I941" s="198"/>
      <c r="J941" s="198"/>
      <c r="K941" s="198"/>
      <c r="L941" s="198"/>
      <c r="M941" s="198"/>
      <c r="N941" s="198"/>
      <c r="O941" s="198"/>
      <c r="P941" s="198"/>
      <c r="Q941" s="198"/>
      <c r="R941" s="198"/>
      <c r="S941" s="198"/>
    </row>
    <row r="942" spans="3:19" x14ac:dyDescent="0.25">
      <c r="C942" s="198"/>
      <c r="D942" s="198"/>
      <c r="E942" s="198"/>
      <c r="F942" s="198"/>
      <c r="G942" s="198"/>
      <c r="H942" s="198"/>
      <c r="I942" s="198"/>
      <c r="J942" s="198"/>
      <c r="K942" s="198"/>
      <c r="L942" s="198"/>
      <c r="M942" s="198"/>
      <c r="N942" s="198"/>
      <c r="O942" s="198"/>
      <c r="P942" s="198"/>
      <c r="Q942" s="198"/>
      <c r="R942" s="198"/>
      <c r="S942" s="198"/>
    </row>
    <row r="943" spans="3:19" x14ac:dyDescent="0.25">
      <c r="C943" s="198"/>
      <c r="D943" s="198"/>
      <c r="E943" s="198"/>
      <c r="F943" s="198"/>
      <c r="G943" s="198"/>
      <c r="H943" s="198"/>
      <c r="I943" s="198"/>
      <c r="J943" s="198"/>
      <c r="K943" s="198"/>
      <c r="L943" s="198"/>
      <c r="M943" s="198"/>
      <c r="N943" s="198"/>
      <c r="O943" s="198"/>
      <c r="P943" s="198"/>
      <c r="Q943" s="198"/>
      <c r="R943" s="198"/>
      <c r="S943" s="198"/>
    </row>
    <row r="944" spans="3:19" x14ac:dyDescent="0.25">
      <c r="C944" s="198"/>
      <c r="D944" s="198"/>
      <c r="E944" s="198"/>
      <c r="F944" s="198"/>
      <c r="G944" s="198"/>
      <c r="H944" s="198"/>
      <c r="I944" s="198"/>
      <c r="J944" s="198"/>
      <c r="K944" s="198"/>
      <c r="L944" s="198"/>
      <c r="M944" s="198"/>
      <c r="N944" s="198"/>
      <c r="O944" s="198"/>
      <c r="P944" s="198"/>
      <c r="Q944" s="198"/>
      <c r="R944" s="198"/>
      <c r="S944" s="198"/>
    </row>
    <row r="945" spans="3:19" x14ac:dyDescent="0.25">
      <c r="C945" s="198"/>
      <c r="D945" s="198"/>
      <c r="E945" s="198"/>
      <c r="F945" s="198"/>
      <c r="G945" s="198"/>
      <c r="H945" s="198"/>
      <c r="I945" s="198"/>
      <c r="J945" s="198"/>
      <c r="K945" s="198"/>
      <c r="L945" s="198"/>
      <c r="M945" s="198"/>
      <c r="N945" s="198"/>
      <c r="O945" s="198"/>
      <c r="P945" s="198"/>
      <c r="Q945" s="198"/>
      <c r="R945" s="198"/>
      <c r="S945" s="198"/>
    </row>
    <row r="946" spans="3:19" x14ac:dyDescent="0.25">
      <c r="C946" s="198"/>
      <c r="D946" s="198"/>
      <c r="E946" s="198"/>
      <c r="F946" s="198"/>
      <c r="G946" s="198"/>
      <c r="H946" s="198"/>
      <c r="I946" s="198"/>
      <c r="J946" s="198"/>
      <c r="K946" s="198"/>
      <c r="L946" s="198"/>
      <c r="M946" s="198"/>
      <c r="N946" s="198"/>
      <c r="O946" s="198"/>
      <c r="P946" s="198"/>
      <c r="Q946" s="198"/>
      <c r="R946" s="198"/>
      <c r="S946" s="198"/>
    </row>
    <row r="947" spans="3:19" x14ac:dyDescent="0.25">
      <c r="C947" s="198"/>
      <c r="D947" s="198"/>
      <c r="E947" s="198"/>
      <c r="F947" s="198"/>
      <c r="G947" s="198"/>
      <c r="H947" s="198"/>
      <c r="I947" s="198"/>
      <c r="J947" s="198"/>
      <c r="K947" s="198"/>
      <c r="L947" s="198"/>
      <c r="M947" s="198"/>
      <c r="N947" s="198"/>
      <c r="O947" s="198"/>
      <c r="P947" s="198"/>
      <c r="Q947" s="198"/>
      <c r="R947" s="198"/>
      <c r="S947" s="198"/>
    </row>
    <row r="948" spans="3:19" x14ac:dyDescent="0.25">
      <c r="C948" s="198"/>
      <c r="D948" s="198"/>
      <c r="E948" s="198"/>
      <c r="F948" s="198"/>
      <c r="G948" s="198"/>
      <c r="H948" s="198"/>
      <c r="I948" s="198"/>
      <c r="J948" s="198"/>
      <c r="K948" s="198"/>
      <c r="L948" s="198"/>
      <c r="M948" s="198"/>
      <c r="N948" s="198"/>
      <c r="O948" s="198"/>
      <c r="P948" s="198"/>
      <c r="Q948" s="198"/>
      <c r="R948" s="198"/>
      <c r="S948" s="198"/>
    </row>
    <row r="949" spans="3:19" x14ac:dyDescent="0.25">
      <c r="C949" s="198"/>
      <c r="D949" s="198"/>
      <c r="E949" s="198"/>
      <c r="F949" s="198"/>
      <c r="G949" s="198"/>
      <c r="H949" s="198"/>
      <c r="I949" s="198"/>
      <c r="J949" s="198"/>
      <c r="K949" s="198"/>
      <c r="L949" s="198"/>
      <c r="M949" s="198"/>
      <c r="N949" s="198"/>
      <c r="O949" s="198"/>
      <c r="P949" s="198"/>
      <c r="Q949" s="198"/>
      <c r="R949" s="198"/>
      <c r="S949" s="198"/>
    </row>
    <row r="950" spans="3:19" x14ac:dyDescent="0.25">
      <c r="C950" s="198"/>
      <c r="D950" s="198"/>
      <c r="E950" s="198"/>
      <c r="F950" s="198"/>
      <c r="G950" s="198"/>
      <c r="H950" s="198"/>
      <c r="I950" s="198"/>
      <c r="J950" s="198"/>
      <c r="K950" s="198"/>
      <c r="L950" s="198"/>
      <c r="M950" s="198"/>
      <c r="N950" s="198"/>
      <c r="O950" s="198"/>
      <c r="P950" s="198"/>
      <c r="Q950" s="198"/>
      <c r="R950" s="198"/>
      <c r="S950" s="198"/>
    </row>
    <row r="951" spans="3:19" x14ac:dyDescent="0.25">
      <c r="C951" s="198"/>
      <c r="D951" s="198"/>
      <c r="E951" s="198"/>
      <c r="F951" s="198"/>
      <c r="G951" s="198"/>
      <c r="H951" s="198"/>
      <c r="I951" s="198"/>
      <c r="J951" s="198"/>
      <c r="K951" s="198"/>
      <c r="L951" s="198"/>
      <c r="M951" s="198"/>
      <c r="N951" s="198"/>
      <c r="O951" s="198"/>
      <c r="P951" s="198"/>
      <c r="Q951" s="198"/>
      <c r="R951" s="198"/>
      <c r="S951" s="198"/>
    </row>
    <row r="952" spans="3:19" x14ac:dyDescent="0.25">
      <c r="C952" s="198"/>
      <c r="D952" s="198"/>
      <c r="E952" s="198"/>
      <c r="F952" s="198"/>
      <c r="G952" s="198"/>
      <c r="H952" s="198"/>
      <c r="I952" s="198"/>
      <c r="J952" s="198"/>
      <c r="K952" s="198"/>
      <c r="L952" s="198"/>
      <c r="M952" s="198"/>
      <c r="N952" s="198"/>
      <c r="O952" s="198"/>
      <c r="P952" s="198"/>
      <c r="Q952" s="198"/>
      <c r="R952" s="198"/>
      <c r="S952" s="198"/>
    </row>
    <row r="953" spans="3:19" x14ac:dyDescent="0.25">
      <c r="C953" s="198"/>
      <c r="D953" s="198"/>
      <c r="E953" s="198"/>
      <c r="F953" s="198"/>
      <c r="G953" s="198"/>
      <c r="H953" s="198"/>
      <c r="I953" s="198"/>
      <c r="J953" s="198"/>
      <c r="K953" s="198"/>
      <c r="L953" s="198"/>
      <c r="M953" s="198"/>
      <c r="N953" s="198"/>
      <c r="O953" s="198"/>
      <c r="P953" s="198"/>
      <c r="Q953" s="198"/>
      <c r="R953" s="198"/>
      <c r="S953" s="198"/>
    </row>
    <row r="954" spans="3:19" x14ac:dyDescent="0.25">
      <c r="C954" s="198"/>
      <c r="D954" s="198"/>
      <c r="E954" s="198"/>
      <c r="F954" s="198"/>
      <c r="G954" s="198"/>
      <c r="H954" s="198"/>
      <c r="I954" s="198"/>
      <c r="J954" s="198"/>
      <c r="K954" s="198"/>
      <c r="L954" s="198"/>
      <c r="M954" s="198"/>
      <c r="N954" s="198"/>
      <c r="O954" s="198"/>
      <c r="P954" s="198"/>
      <c r="Q954" s="198"/>
      <c r="R954" s="198"/>
      <c r="S954" s="198"/>
    </row>
    <row r="955" spans="3:19" x14ac:dyDescent="0.25">
      <c r="C955" s="198"/>
      <c r="D955" s="198"/>
      <c r="E955" s="198"/>
      <c r="F955" s="198"/>
      <c r="G955" s="198"/>
      <c r="H955" s="198"/>
      <c r="I955" s="198"/>
      <c r="J955" s="198"/>
      <c r="K955" s="198"/>
      <c r="L955" s="198"/>
      <c r="M955" s="198"/>
      <c r="N955" s="198"/>
      <c r="O955" s="198"/>
      <c r="P955" s="198"/>
      <c r="Q955" s="198"/>
      <c r="R955" s="198"/>
      <c r="S955" s="198"/>
    </row>
    <row r="956" spans="3:19" x14ac:dyDescent="0.25">
      <c r="C956" s="198"/>
      <c r="D956" s="198"/>
      <c r="E956" s="198"/>
      <c r="F956" s="198"/>
      <c r="G956" s="198"/>
      <c r="H956" s="198"/>
      <c r="I956" s="198"/>
      <c r="J956" s="198"/>
      <c r="K956" s="198"/>
      <c r="L956" s="198"/>
      <c r="M956" s="198"/>
      <c r="N956" s="198"/>
      <c r="O956" s="198"/>
      <c r="P956" s="198"/>
      <c r="Q956" s="198"/>
      <c r="R956" s="198"/>
      <c r="S956" s="198"/>
    </row>
    <row r="957" spans="3:19" x14ac:dyDescent="0.25">
      <c r="C957" s="198"/>
      <c r="D957" s="198"/>
      <c r="E957" s="198"/>
      <c r="F957" s="198"/>
      <c r="G957" s="198"/>
      <c r="H957" s="198"/>
      <c r="I957" s="198"/>
      <c r="J957" s="198"/>
      <c r="K957" s="198"/>
      <c r="L957" s="198"/>
      <c r="M957" s="198"/>
      <c r="N957" s="198"/>
      <c r="O957" s="198"/>
      <c r="P957" s="198"/>
      <c r="Q957" s="198"/>
      <c r="R957" s="198"/>
      <c r="S957" s="198"/>
    </row>
    <row r="958" spans="3:19" x14ac:dyDescent="0.25">
      <c r="C958" s="198"/>
      <c r="D958" s="198"/>
      <c r="E958" s="198"/>
      <c r="F958" s="198"/>
      <c r="G958" s="198"/>
      <c r="H958" s="198"/>
      <c r="I958" s="198"/>
      <c r="J958" s="198"/>
      <c r="K958" s="198"/>
      <c r="L958" s="198"/>
      <c r="M958" s="198"/>
      <c r="N958" s="198"/>
      <c r="O958" s="198"/>
      <c r="P958" s="198"/>
      <c r="Q958" s="198"/>
      <c r="R958" s="198"/>
      <c r="S958" s="198"/>
    </row>
    <row r="959" spans="3:19" x14ac:dyDescent="0.25">
      <c r="C959" s="198"/>
      <c r="D959" s="198"/>
      <c r="E959" s="198"/>
      <c r="F959" s="198"/>
      <c r="G959" s="198"/>
      <c r="H959" s="198"/>
      <c r="I959" s="198"/>
      <c r="J959" s="198"/>
      <c r="K959" s="198"/>
      <c r="L959" s="198"/>
      <c r="M959" s="198"/>
      <c r="N959" s="198"/>
      <c r="O959" s="198"/>
      <c r="P959" s="198"/>
      <c r="Q959" s="198"/>
      <c r="R959" s="198"/>
      <c r="S959" s="198"/>
    </row>
    <row r="960" spans="3:19" x14ac:dyDescent="0.25">
      <c r="C960" s="198"/>
      <c r="D960" s="198"/>
      <c r="E960" s="198"/>
      <c r="F960" s="198"/>
      <c r="G960" s="198"/>
      <c r="H960" s="198"/>
      <c r="I960" s="198"/>
      <c r="J960" s="198"/>
      <c r="K960" s="198"/>
      <c r="L960" s="198"/>
      <c r="M960" s="198"/>
      <c r="N960" s="198"/>
      <c r="O960" s="198"/>
      <c r="P960" s="198"/>
      <c r="Q960" s="198"/>
      <c r="R960" s="198"/>
      <c r="S960" s="198"/>
    </row>
    <row r="961" spans="3:19" x14ac:dyDescent="0.25">
      <c r="C961" s="198"/>
      <c r="D961" s="198"/>
      <c r="E961" s="198"/>
      <c r="F961" s="198"/>
      <c r="G961" s="198"/>
      <c r="H961" s="198"/>
      <c r="I961" s="198"/>
      <c r="J961" s="198"/>
      <c r="K961" s="198"/>
      <c r="L961" s="198"/>
      <c r="M961" s="198"/>
      <c r="N961" s="198"/>
      <c r="O961" s="198"/>
      <c r="P961" s="198"/>
      <c r="Q961" s="198"/>
      <c r="R961" s="198"/>
      <c r="S961" s="198"/>
    </row>
    <row r="962" spans="3:19" x14ac:dyDescent="0.25">
      <c r="C962" s="198"/>
      <c r="D962" s="198"/>
      <c r="E962" s="198"/>
      <c r="F962" s="198"/>
      <c r="G962" s="198"/>
      <c r="H962" s="198"/>
      <c r="I962" s="198"/>
      <c r="J962" s="198"/>
      <c r="K962" s="198"/>
      <c r="L962" s="198"/>
      <c r="M962" s="198"/>
      <c r="N962" s="198"/>
      <c r="O962" s="198"/>
      <c r="P962" s="198"/>
      <c r="Q962" s="198"/>
      <c r="R962" s="198"/>
      <c r="S962" s="198"/>
    </row>
    <row r="963" spans="3:19" x14ac:dyDescent="0.25">
      <c r="C963" s="198"/>
      <c r="D963" s="198"/>
      <c r="E963" s="198"/>
      <c r="F963" s="198"/>
      <c r="G963" s="198"/>
      <c r="H963" s="198"/>
      <c r="I963" s="198"/>
      <c r="J963" s="198"/>
      <c r="K963" s="198"/>
      <c r="L963" s="198"/>
      <c r="M963" s="198"/>
      <c r="N963" s="198"/>
      <c r="O963" s="198"/>
      <c r="P963" s="198"/>
      <c r="Q963" s="198"/>
      <c r="R963" s="198"/>
      <c r="S963" s="198"/>
    </row>
    <row r="964" spans="3:19" x14ac:dyDescent="0.25">
      <c r="C964" s="198"/>
      <c r="D964" s="198"/>
      <c r="E964" s="198"/>
      <c r="F964" s="198"/>
      <c r="G964" s="198"/>
      <c r="H964" s="198"/>
      <c r="I964" s="198"/>
      <c r="J964" s="198"/>
      <c r="K964" s="198"/>
      <c r="L964" s="198"/>
      <c r="M964" s="198"/>
      <c r="N964" s="198"/>
      <c r="O964" s="198"/>
      <c r="P964" s="198"/>
      <c r="Q964" s="198"/>
      <c r="R964" s="198"/>
      <c r="S964" s="198"/>
    </row>
    <row r="965" spans="3:19" x14ac:dyDescent="0.25">
      <c r="C965" s="198"/>
      <c r="D965" s="198"/>
      <c r="E965" s="198"/>
      <c r="F965" s="198"/>
      <c r="G965" s="198"/>
      <c r="H965" s="198"/>
      <c r="I965" s="198"/>
      <c r="J965" s="198"/>
      <c r="K965" s="198"/>
      <c r="L965" s="198"/>
      <c r="M965" s="198"/>
      <c r="N965" s="198"/>
      <c r="O965" s="198"/>
      <c r="P965" s="198"/>
      <c r="Q965" s="198"/>
      <c r="R965" s="198"/>
      <c r="S965" s="198"/>
    </row>
    <row r="966" spans="3:19" x14ac:dyDescent="0.25">
      <c r="C966" s="198"/>
      <c r="D966" s="198"/>
      <c r="E966" s="198"/>
      <c r="F966" s="198"/>
      <c r="G966" s="198"/>
      <c r="H966" s="198"/>
      <c r="I966" s="198"/>
      <c r="J966" s="198"/>
      <c r="K966" s="198"/>
      <c r="L966" s="198"/>
      <c r="M966" s="198"/>
      <c r="N966" s="198"/>
      <c r="O966" s="198"/>
      <c r="P966" s="198"/>
      <c r="Q966" s="198"/>
      <c r="R966" s="198"/>
      <c r="S966" s="198"/>
    </row>
    <row r="967" spans="3:19" x14ac:dyDescent="0.25">
      <c r="C967" s="198"/>
      <c r="D967" s="198"/>
      <c r="E967" s="198"/>
      <c r="F967" s="198"/>
      <c r="G967" s="198"/>
      <c r="H967" s="198"/>
      <c r="I967" s="198"/>
      <c r="J967" s="198"/>
      <c r="K967" s="198"/>
      <c r="L967" s="198"/>
      <c r="M967" s="198"/>
      <c r="N967" s="198"/>
      <c r="O967" s="198"/>
      <c r="P967" s="198"/>
      <c r="Q967" s="198"/>
      <c r="R967" s="198"/>
      <c r="S967" s="198"/>
    </row>
    <row r="968" spans="3:19" x14ac:dyDescent="0.25">
      <c r="C968" s="198"/>
      <c r="D968" s="198"/>
      <c r="E968" s="198"/>
      <c r="F968" s="198"/>
      <c r="G968" s="198"/>
      <c r="H968" s="198"/>
      <c r="I968" s="198"/>
      <c r="J968" s="198"/>
      <c r="K968" s="198"/>
      <c r="L968" s="198"/>
      <c r="M968" s="198"/>
      <c r="N968" s="198"/>
      <c r="O968" s="198"/>
      <c r="P968" s="198"/>
      <c r="Q968" s="198"/>
      <c r="R968" s="198"/>
      <c r="S968" s="198"/>
    </row>
    <row r="969" spans="3:19" x14ac:dyDescent="0.25">
      <c r="C969" s="198"/>
      <c r="D969" s="198"/>
      <c r="E969" s="198"/>
      <c r="F969" s="198"/>
      <c r="G969" s="198"/>
      <c r="H969" s="198"/>
      <c r="I969" s="198"/>
      <c r="J969" s="198"/>
      <c r="K969" s="198"/>
      <c r="L969" s="198"/>
      <c r="M969" s="198"/>
      <c r="N969" s="198"/>
      <c r="O969" s="198"/>
      <c r="P969" s="198"/>
      <c r="Q969" s="198"/>
      <c r="R969" s="198"/>
      <c r="S969" s="198"/>
    </row>
    <row r="970" spans="3:19" x14ac:dyDescent="0.25">
      <c r="C970" s="198"/>
      <c r="D970" s="198"/>
      <c r="E970" s="198"/>
      <c r="F970" s="198"/>
      <c r="G970" s="198"/>
      <c r="H970" s="198"/>
      <c r="I970" s="198"/>
      <c r="J970" s="198"/>
      <c r="K970" s="198"/>
      <c r="L970" s="198"/>
      <c r="M970" s="198"/>
      <c r="N970" s="198"/>
      <c r="O970" s="198"/>
      <c r="P970" s="198"/>
      <c r="Q970" s="198"/>
      <c r="R970" s="198"/>
      <c r="S970" s="198"/>
    </row>
    <row r="971" spans="3:19" x14ac:dyDescent="0.25">
      <c r="C971" s="198"/>
      <c r="D971" s="198"/>
      <c r="E971" s="198"/>
      <c r="F971" s="198"/>
      <c r="G971" s="198"/>
      <c r="H971" s="198"/>
      <c r="I971" s="198"/>
      <c r="J971" s="198"/>
      <c r="K971" s="198"/>
      <c r="L971" s="198"/>
      <c r="M971" s="198"/>
      <c r="N971" s="198"/>
      <c r="O971" s="198"/>
      <c r="P971" s="198"/>
      <c r="Q971" s="198"/>
      <c r="R971" s="198"/>
      <c r="S971" s="198"/>
    </row>
    <row r="972" spans="3:19" x14ac:dyDescent="0.25">
      <c r="C972" s="198"/>
      <c r="D972" s="198"/>
      <c r="E972" s="198"/>
      <c r="F972" s="198"/>
      <c r="G972" s="198"/>
      <c r="H972" s="198"/>
      <c r="I972" s="198"/>
      <c r="J972" s="198"/>
      <c r="K972" s="198"/>
      <c r="L972" s="198"/>
      <c r="M972" s="198"/>
      <c r="N972" s="198"/>
      <c r="O972" s="198"/>
      <c r="P972" s="198"/>
      <c r="Q972" s="198"/>
      <c r="R972" s="198"/>
      <c r="S972" s="198"/>
    </row>
    <row r="973" spans="3:19" x14ac:dyDescent="0.25">
      <c r="C973" s="198"/>
      <c r="D973" s="198"/>
      <c r="E973" s="198"/>
      <c r="F973" s="198"/>
      <c r="G973" s="198"/>
      <c r="H973" s="198"/>
      <c r="I973" s="198"/>
      <c r="J973" s="198"/>
      <c r="K973" s="198"/>
      <c r="L973" s="198"/>
      <c r="M973" s="198"/>
      <c r="N973" s="198"/>
      <c r="O973" s="198"/>
      <c r="P973" s="198"/>
      <c r="Q973" s="198"/>
      <c r="R973" s="198"/>
      <c r="S973" s="198"/>
    </row>
    <row r="974" spans="3:19" x14ac:dyDescent="0.25">
      <c r="C974" s="198"/>
      <c r="D974" s="198"/>
      <c r="E974" s="198"/>
      <c r="F974" s="198"/>
      <c r="G974" s="198"/>
      <c r="H974" s="198"/>
      <c r="I974" s="198"/>
      <c r="J974" s="198"/>
      <c r="K974" s="198"/>
      <c r="L974" s="198"/>
      <c r="M974" s="198"/>
      <c r="N974" s="198"/>
      <c r="O974" s="198"/>
      <c r="P974" s="198"/>
      <c r="Q974" s="198"/>
      <c r="R974" s="198"/>
      <c r="S974" s="198"/>
    </row>
    <row r="975" spans="3:19" x14ac:dyDescent="0.25">
      <c r="C975" s="198"/>
      <c r="D975" s="198"/>
      <c r="E975" s="198"/>
      <c r="F975" s="198"/>
      <c r="G975" s="198"/>
      <c r="H975" s="198"/>
      <c r="I975" s="198"/>
      <c r="J975" s="198"/>
      <c r="K975" s="198"/>
      <c r="L975" s="198"/>
      <c r="M975" s="198"/>
      <c r="N975" s="198"/>
      <c r="O975" s="198"/>
      <c r="P975" s="198"/>
      <c r="Q975" s="198"/>
      <c r="R975" s="198"/>
      <c r="S975" s="198"/>
    </row>
    <row r="976" spans="3:19" x14ac:dyDescent="0.25">
      <c r="C976" s="198"/>
      <c r="D976" s="198"/>
      <c r="E976" s="198"/>
      <c r="F976" s="198"/>
      <c r="G976" s="198"/>
      <c r="H976" s="198"/>
      <c r="I976" s="198"/>
      <c r="J976" s="198"/>
      <c r="K976" s="198"/>
      <c r="L976" s="198"/>
      <c r="M976" s="198"/>
      <c r="N976" s="198"/>
      <c r="O976" s="198"/>
      <c r="P976" s="198"/>
      <c r="Q976" s="198"/>
      <c r="R976" s="198"/>
      <c r="S976" s="198"/>
    </row>
    <row r="977" spans="3:19" x14ac:dyDescent="0.25">
      <c r="C977" s="198"/>
      <c r="D977" s="198"/>
      <c r="E977" s="198"/>
      <c r="F977" s="198"/>
      <c r="G977" s="198"/>
      <c r="H977" s="198"/>
      <c r="I977" s="198"/>
      <c r="J977" s="198"/>
      <c r="K977" s="198"/>
      <c r="L977" s="198"/>
      <c r="M977" s="198"/>
      <c r="N977" s="198"/>
      <c r="O977" s="198"/>
      <c r="P977" s="198"/>
      <c r="Q977" s="198"/>
      <c r="R977" s="198"/>
      <c r="S977" s="198"/>
    </row>
    <row r="978" spans="3:19" x14ac:dyDescent="0.25">
      <c r="C978" s="198"/>
      <c r="D978" s="198"/>
      <c r="E978" s="198"/>
      <c r="F978" s="198"/>
      <c r="G978" s="198"/>
      <c r="H978" s="198"/>
      <c r="I978" s="198"/>
      <c r="J978" s="198"/>
      <c r="K978" s="198"/>
      <c r="L978" s="198"/>
      <c r="M978" s="198"/>
      <c r="N978" s="198"/>
      <c r="O978" s="198"/>
      <c r="P978" s="198"/>
      <c r="Q978" s="198"/>
      <c r="R978" s="198"/>
      <c r="S978" s="198"/>
    </row>
    <row r="979" spans="3:19" x14ac:dyDescent="0.25">
      <c r="C979" s="198"/>
      <c r="D979" s="198"/>
      <c r="E979" s="198"/>
      <c r="F979" s="198"/>
      <c r="G979" s="198"/>
      <c r="H979" s="198"/>
      <c r="I979" s="198"/>
      <c r="J979" s="198"/>
      <c r="K979" s="198"/>
      <c r="L979" s="198"/>
      <c r="M979" s="198"/>
      <c r="N979" s="198"/>
      <c r="O979" s="198"/>
      <c r="P979" s="198"/>
      <c r="Q979" s="198"/>
      <c r="R979" s="198"/>
      <c r="S979" s="198"/>
    </row>
    <row r="980" spans="3:19" x14ac:dyDescent="0.25">
      <c r="C980" s="198"/>
      <c r="D980" s="198"/>
      <c r="E980" s="198"/>
      <c r="F980" s="198"/>
      <c r="G980" s="198"/>
      <c r="H980" s="198"/>
      <c r="I980" s="198"/>
      <c r="J980" s="198"/>
      <c r="K980" s="198"/>
      <c r="L980" s="198"/>
      <c r="M980" s="198"/>
      <c r="N980" s="198"/>
      <c r="O980" s="198"/>
      <c r="P980" s="198"/>
      <c r="Q980" s="198"/>
      <c r="R980" s="198"/>
      <c r="S980" s="198"/>
    </row>
    <row r="981" spans="3:19" x14ac:dyDescent="0.25">
      <c r="C981" s="198"/>
      <c r="D981" s="198"/>
      <c r="E981" s="198"/>
      <c r="F981" s="198"/>
      <c r="G981" s="198"/>
      <c r="H981" s="198"/>
      <c r="I981" s="198"/>
      <c r="J981" s="198"/>
      <c r="K981" s="198"/>
      <c r="L981" s="198"/>
      <c r="M981" s="198"/>
      <c r="N981" s="198"/>
      <c r="O981" s="198"/>
      <c r="P981" s="198"/>
      <c r="Q981" s="198"/>
      <c r="R981" s="198"/>
      <c r="S981" s="198"/>
    </row>
    <row r="982" spans="3:19" x14ac:dyDescent="0.25">
      <c r="C982" s="198"/>
      <c r="D982" s="198"/>
      <c r="E982" s="198"/>
      <c r="F982" s="198"/>
      <c r="G982" s="198"/>
      <c r="H982" s="198"/>
      <c r="I982" s="198"/>
      <c r="J982" s="198"/>
      <c r="K982" s="198"/>
      <c r="L982" s="198"/>
      <c r="M982" s="198"/>
      <c r="N982" s="198"/>
      <c r="O982" s="198"/>
      <c r="P982" s="198"/>
      <c r="Q982" s="198"/>
      <c r="R982" s="198"/>
      <c r="S982" s="198"/>
    </row>
    <row r="983" spans="3:19" x14ac:dyDescent="0.25">
      <c r="C983" s="198"/>
      <c r="D983" s="198"/>
      <c r="E983" s="198"/>
      <c r="F983" s="198"/>
      <c r="G983" s="198"/>
      <c r="H983" s="198"/>
      <c r="I983" s="198"/>
      <c r="J983" s="198"/>
      <c r="K983" s="198"/>
      <c r="L983" s="198"/>
      <c r="M983" s="198"/>
      <c r="N983" s="198"/>
      <c r="O983" s="198"/>
      <c r="P983" s="198"/>
      <c r="Q983" s="198"/>
      <c r="R983" s="198"/>
      <c r="S983" s="198"/>
    </row>
    <row r="984" spans="3:19" x14ac:dyDescent="0.25">
      <c r="C984" s="198"/>
      <c r="D984" s="198"/>
      <c r="E984" s="198"/>
      <c r="F984" s="198"/>
      <c r="G984" s="198"/>
      <c r="H984" s="198"/>
      <c r="I984" s="198"/>
      <c r="J984" s="198"/>
      <c r="K984" s="198"/>
      <c r="L984" s="198"/>
      <c r="M984" s="198"/>
      <c r="N984" s="198"/>
      <c r="O984" s="198"/>
      <c r="P984" s="198"/>
      <c r="Q984" s="198"/>
      <c r="R984" s="198"/>
      <c r="S984" s="198"/>
    </row>
    <row r="985" spans="3:19" x14ac:dyDescent="0.25">
      <c r="C985" s="198"/>
      <c r="D985" s="198"/>
      <c r="E985" s="198"/>
      <c r="F985" s="198"/>
      <c r="G985" s="198"/>
      <c r="H985" s="198"/>
      <c r="I985" s="198"/>
      <c r="J985" s="198"/>
      <c r="K985" s="198"/>
      <c r="L985" s="198"/>
      <c r="M985" s="198"/>
      <c r="N985" s="198"/>
      <c r="O985" s="198"/>
      <c r="P985" s="198"/>
      <c r="Q985" s="198"/>
      <c r="R985" s="198"/>
      <c r="S985" s="198"/>
    </row>
    <row r="986" spans="3:19" x14ac:dyDescent="0.25">
      <c r="C986" s="198"/>
      <c r="D986" s="198"/>
      <c r="E986" s="198"/>
      <c r="F986" s="198"/>
      <c r="G986" s="198"/>
      <c r="H986" s="198"/>
      <c r="I986" s="198"/>
      <c r="J986" s="198"/>
      <c r="K986" s="198"/>
      <c r="L986" s="198"/>
      <c r="M986" s="198"/>
      <c r="N986" s="198"/>
      <c r="O986" s="198"/>
      <c r="P986" s="198"/>
      <c r="Q986" s="198"/>
      <c r="R986" s="198"/>
      <c r="S986" s="198"/>
    </row>
    <row r="987" spans="3:19" x14ac:dyDescent="0.25">
      <c r="C987" s="198"/>
      <c r="D987" s="198"/>
      <c r="E987" s="198"/>
      <c r="F987" s="198"/>
      <c r="G987" s="198"/>
      <c r="H987" s="198"/>
      <c r="I987" s="198"/>
      <c r="J987" s="198"/>
      <c r="K987" s="198"/>
      <c r="L987" s="198"/>
      <c r="M987" s="198"/>
      <c r="N987" s="198"/>
      <c r="O987" s="198"/>
      <c r="P987" s="198"/>
      <c r="Q987" s="198"/>
      <c r="R987" s="198"/>
      <c r="S987" s="198"/>
    </row>
    <row r="988" spans="3:19" x14ac:dyDescent="0.25">
      <c r="C988" s="198"/>
      <c r="D988" s="198"/>
      <c r="E988" s="198"/>
      <c r="F988" s="198"/>
      <c r="G988" s="198"/>
      <c r="H988" s="198"/>
      <c r="I988" s="198"/>
      <c r="J988" s="198"/>
      <c r="K988" s="198"/>
      <c r="L988" s="198"/>
      <c r="M988" s="198"/>
      <c r="N988" s="198"/>
      <c r="O988" s="198"/>
      <c r="P988" s="198"/>
      <c r="Q988" s="198"/>
      <c r="R988" s="198"/>
      <c r="S988" s="198"/>
    </row>
    <row r="989" spans="3:19" x14ac:dyDescent="0.25">
      <c r="C989" s="198"/>
      <c r="D989" s="198"/>
      <c r="E989" s="198"/>
      <c r="F989" s="198"/>
      <c r="G989" s="198"/>
      <c r="H989" s="198"/>
      <c r="I989" s="198"/>
      <c r="J989" s="198"/>
      <c r="K989" s="198"/>
      <c r="L989" s="198"/>
      <c r="M989" s="198"/>
      <c r="N989" s="198"/>
      <c r="O989" s="198"/>
      <c r="P989" s="198"/>
      <c r="Q989" s="198"/>
      <c r="R989" s="198"/>
      <c r="S989" s="198"/>
    </row>
    <row r="990" spans="3:19" x14ac:dyDescent="0.25">
      <c r="C990" s="198"/>
      <c r="D990" s="198"/>
      <c r="E990" s="198"/>
      <c r="F990" s="198"/>
      <c r="G990" s="198"/>
      <c r="H990" s="198"/>
      <c r="I990" s="198"/>
      <c r="J990" s="198"/>
      <c r="K990" s="198"/>
      <c r="L990" s="198"/>
      <c r="M990" s="198"/>
      <c r="N990" s="198"/>
      <c r="O990" s="198"/>
      <c r="P990" s="198"/>
      <c r="Q990" s="198"/>
      <c r="R990" s="198"/>
      <c r="S990" s="198"/>
    </row>
    <row r="991" spans="3:19" x14ac:dyDescent="0.25">
      <c r="C991" s="198"/>
      <c r="D991" s="198"/>
      <c r="E991" s="198"/>
      <c r="F991" s="198"/>
      <c r="G991" s="198"/>
      <c r="H991" s="198"/>
      <c r="I991" s="198"/>
      <c r="J991" s="198"/>
      <c r="K991" s="198"/>
      <c r="L991" s="198"/>
      <c r="M991" s="198"/>
      <c r="N991" s="198"/>
      <c r="O991" s="198"/>
      <c r="P991" s="198"/>
      <c r="Q991" s="198"/>
      <c r="R991" s="198"/>
      <c r="S991" s="198"/>
    </row>
    <row r="992" spans="3:19" x14ac:dyDescent="0.25">
      <c r="C992" s="198"/>
      <c r="D992" s="198"/>
      <c r="E992" s="198"/>
      <c r="F992" s="198"/>
      <c r="G992" s="198"/>
      <c r="H992" s="198"/>
      <c r="I992" s="198"/>
      <c r="J992" s="198"/>
      <c r="K992" s="198"/>
      <c r="L992" s="198"/>
      <c r="M992" s="198"/>
      <c r="N992" s="198"/>
      <c r="O992" s="198"/>
      <c r="P992" s="198"/>
      <c r="Q992" s="198"/>
      <c r="R992" s="198"/>
      <c r="S992" s="198"/>
    </row>
    <row r="993" spans="3:19" x14ac:dyDescent="0.25">
      <c r="C993" s="198"/>
      <c r="D993" s="198"/>
      <c r="E993" s="198"/>
      <c r="F993" s="198"/>
      <c r="G993" s="198"/>
      <c r="H993" s="198"/>
      <c r="I993" s="198"/>
      <c r="J993" s="198"/>
      <c r="K993" s="198"/>
      <c r="L993" s="198"/>
      <c r="M993" s="198"/>
      <c r="N993" s="198"/>
      <c r="O993" s="198"/>
      <c r="P993" s="198"/>
      <c r="Q993" s="198"/>
      <c r="R993" s="198"/>
      <c r="S993" s="198"/>
    </row>
    <row r="994" spans="3:19" x14ac:dyDescent="0.25">
      <c r="C994" s="198"/>
      <c r="D994" s="198"/>
      <c r="E994" s="198"/>
      <c r="F994" s="198"/>
      <c r="G994" s="198"/>
      <c r="H994" s="198"/>
      <c r="I994" s="198"/>
      <c r="J994" s="198"/>
      <c r="K994" s="198"/>
      <c r="L994" s="198"/>
      <c r="M994" s="198"/>
      <c r="N994" s="198"/>
      <c r="O994" s="198"/>
      <c r="P994" s="198"/>
      <c r="Q994" s="198"/>
      <c r="R994" s="198"/>
      <c r="S994" s="198"/>
    </row>
    <row r="995" spans="3:19" x14ac:dyDescent="0.25">
      <c r="C995" s="198"/>
      <c r="D995" s="198"/>
      <c r="E995" s="198"/>
      <c r="F995" s="198"/>
      <c r="G995" s="198"/>
      <c r="H995" s="198"/>
      <c r="I995" s="198"/>
      <c r="J995" s="198"/>
      <c r="K995" s="198"/>
      <c r="L995" s="198"/>
      <c r="M995" s="198"/>
      <c r="N995" s="198"/>
      <c r="O995" s="198"/>
      <c r="P995" s="198"/>
      <c r="Q995" s="198"/>
      <c r="R995" s="198"/>
      <c r="S995" s="198"/>
    </row>
    <row r="996" spans="3:19" x14ac:dyDescent="0.25">
      <c r="C996" s="198"/>
      <c r="D996" s="198"/>
      <c r="E996" s="198"/>
      <c r="F996" s="198"/>
      <c r="G996" s="198"/>
      <c r="H996" s="198"/>
      <c r="I996" s="198"/>
      <c r="J996" s="198"/>
      <c r="K996" s="198"/>
      <c r="L996" s="198"/>
      <c r="M996" s="198"/>
      <c r="N996" s="198"/>
      <c r="O996" s="198"/>
      <c r="P996" s="198"/>
      <c r="Q996" s="198"/>
      <c r="R996" s="198"/>
      <c r="S996" s="198"/>
    </row>
    <row r="997" spans="3:19" x14ac:dyDescent="0.25">
      <c r="C997" s="198"/>
      <c r="D997" s="198"/>
      <c r="E997" s="198"/>
      <c r="F997" s="198"/>
      <c r="G997" s="198"/>
      <c r="H997" s="198"/>
      <c r="I997" s="198"/>
      <c r="J997" s="198"/>
      <c r="K997" s="198"/>
      <c r="L997" s="198"/>
      <c r="M997" s="198"/>
      <c r="N997" s="198"/>
      <c r="O997" s="198"/>
      <c r="P997" s="198"/>
      <c r="Q997" s="198"/>
      <c r="R997" s="198"/>
      <c r="S997" s="198"/>
    </row>
    <row r="998" spans="3:19" x14ac:dyDescent="0.25">
      <c r="C998" s="198"/>
      <c r="D998" s="198"/>
      <c r="E998" s="198"/>
      <c r="F998" s="198"/>
      <c r="G998" s="198"/>
      <c r="H998" s="198"/>
      <c r="I998" s="198"/>
      <c r="J998" s="198"/>
      <c r="K998" s="198"/>
      <c r="L998" s="198"/>
      <c r="M998" s="198"/>
      <c r="N998" s="198"/>
      <c r="O998" s="198"/>
      <c r="P998" s="198"/>
      <c r="Q998" s="198"/>
      <c r="R998" s="198"/>
      <c r="S998" s="198"/>
    </row>
    <row r="999" spans="3:19" x14ac:dyDescent="0.25">
      <c r="C999" s="198"/>
      <c r="D999" s="198"/>
      <c r="E999" s="198"/>
      <c r="F999" s="198"/>
      <c r="G999" s="198"/>
      <c r="H999" s="198"/>
      <c r="I999" s="198"/>
      <c r="J999" s="198"/>
      <c r="K999" s="198"/>
      <c r="L999" s="198"/>
      <c r="M999" s="198"/>
      <c r="N999" s="198"/>
      <c r="O999" s="198"/>
      <c r="P999" s="198"/>
      <c r="Q999" s="198"/>
      <c r="R999" s="198"/>
      <c r="S999" s="198"/>
    </row>
    <row r="1000" spans="3:19" x14ac:dyDescent="0.25">
      <c r="C1000" s="198"/>
      <c r="D1000" s="198"/>
      <c r="E1000" s="198"/>
      <c r="F1000" s="198"/>
      <c r="G1000" s="198"/>
      <c r="H1000" s="198"/>
      <c r="I1000" s="198"/>
      <c r="J1000" s="198"/>
      <c r="K1000" s="198"/>
      <c r="L1000" s="198"/>
      <c r="M1000" s="198"/>
      <c r="N1000" s="198"/>
      <c r="O1000" s="198"/>
      <c r="P1000" s="198"/>
      <c r="Q1000" s="198"/>
      <c r="R1000" s="198"/>
      <c r="S1000" s="198"/>
    </row>
    <row r="1001" spans="3:19" x14ac:dyDescent="0.25">
      <c r="C1001" s="198"/>
      <c r="D1001" s="198"/>
      <c r="E1001" s="198"/>
      <c r="F1001" s="198"/>
      <c r="G1001" s="198"/>
      <c r="H1001" s="198"/>
      <c r="I1001" s="198"/>
      <c r="J1001" s="198"/>
      <c r="K1001" s="198"/>
      <c r="L1001" s="198"/>
      <c r="M1001" s="198"/>
      <c r="N1001" s="198"/>
      <c r="O1001" s="198"/>
      <c r="P1001" s="198"/>
      <c r="Q1001" s="198"/>
      <c r="R1001" s="198"/>
      <c r="S1001" s="198"/>
    </row>
    <row r="1002" spans="3:19" x14ac:dyDescent="0.25">
      <c r="C1002" s="198"/>
      <c r="D1002" s="198"/>
      <c r="E1002" s="198"/>
      <c r="F1002" s="198"/>
      <c r="G1002" s="198"/>
      <c r="H1002" s="198"/>
      <c r="I1002" s="198"/>
      <c r="J1002" s="198"/>
      <c r="K1002" s="198"/>
      <c r="L1002" s="198"/>
      <c r="M1002" s="198"/>
      <c r="N1002" s="198"/>
      <c r="O1002" s="198"/>
      <c r="P1002" s="198"/>
      <c r="Q1002" s="198"/>
      <c r="R1002" s="198"/>
      <c r="S1002" s="198"/>
    </row>
    <row r="1003" spans="3:19" x14ac:dyDescent="0.25">
      <c r="C1003" s="198"/>
      <c r="D1003" s="198"/>
      <c r="E1003" s="198"/>
      <c r="F1003" s="198"/>
      <c r="G1003" s="198"/>
      <c r="H1003" s="198"/>
      <c r="I1003" s="198"/>
      <c r="J1003" s="198"/>
      <c r="K1003" s="198"/>
      <c r="L1003" s="198"/>
      <c r="M1003" s="198"/>
      <c r="N1003" s="198"/>
      <c r="O1003" s="198"/>
      <c r="P1003" s="198"/>
      <c r="Q1003" s="198"/>
      <c r="R1003" s="198"/>
      <c r="S1003" s="198"/>
    </row>
    <row r="1004" spans="3:19" x14ac:dyDescent="0.25">
      <c r="C1004" s="198"/>
      <c r="D1004" s="198"/>
      <c r="E1004" s="198"/>
      <c r="F1004" s="198"/>
      <c r="G1004" s="198"/>
      <c r="H1004" s="198"/>
      <c r="I1004" s="198"/>
      <c r="J1004" s="198"/>
      <c r="K1004" s="198"/>
      <c r="L1004" s="198"/>
      <c r="M1004" s="198"/>
      <c r="N1004" s="198"/>
      <c r="O1004" s="198"/>
      <c r="P1004" s="198"/>
      <c r="Q1004" s="198"/>
      <c r="R1004" s="198"/>
      <c r="S1004" s="198"/>
    </row>
    <row r="1005" spans="3:19" x14ac:dyDescent="0.25">
      <c r="C1005" s="198"/>
      <c r="D1005" s="198"/>
      <c r="E1005" s="198"/>
      <c r="F1005" s="198"/>
      <c r="G1005" s="198"/>
      <c r="H1005" s="198"/>
      <c r="I1005" s="198"/>
      <c r="J1005" s="198"/>
      <c r="K1005" s="198"/>
      <c r="L1005" s="198"/>
      <c r="M1005" s="198"/>
      <c r="N1005" s="198"/>
      <c r="O1005" s="198"/>
      <c r="P1005" s="198"/>
      <c r="Q1005" s="198"/>
      <c r="R1005" s="198"/>
      <c r="S1005" s="198"/>
    </row>
    <row r="1006" spans="3:19" x14ac:dyDescent="0.25">
      <c r="C1006" s="198"/>
      <c r="D1006" s="198"/>
      <c r="E1006" s="198"/>
      <c r="F1006" s="198"/>
      <c r="G1006" s="198"/>
      <c r="H1006" s="198"/>
      <c r="I1006" s="198"/>
      <c r="J1006" s="198"/>
      <c r="K1006" s="198"/>
      <c r="L1006" s="198"/>
      <c r="M1006" s="198"/>
      <c r="N1006" s="198"/>
      <c r="O1006" s="198"/>
      <c r="P1006" s="198"/>
      <c r="Q1006" s="198"/>
      <c r="R1006" s="198"/>
      <c r="S1006" s="198"/>
    </row>
    <row r="1007" spans="3:19" x14ac:dyDescent="0.25">
      <c r="C1007" s="198"/>
      <c r="D1007" s="198"/>
      <c r="E1007" s="198"/>
      <c r="F1007" s="198"/>
      <c r="G1007" s="198"/>
      <c r="H1007" s="198"/>
      <c r="I1007" s="198"/>
      <c r="J1007" s="198"/>
      <c r="K1007" s="198"/>
      <c r="L1007" s="198"/>
      <c r="M1007" s="198"/>
      <c r="N1007" s="198"/>
      <c r="O1007" s="198"/>
      <c r="P1007" s="198"/>
      <c r="Q1007" s="198"/>
      <c r="R1007" s="198"/>
      <c r="S1007" s="198"/>
    </row>
    <row r="1008" spans="3:19" x14ac:dyDescent="0.25">
      <c r="C1008" s="198"/>
      <c r="D1008" s="198"/>
      <c r="E1008" s="198"/>
      <c r="F1008" s="198"/>
      <c r="G1008" s="198"/>
      <c r="H1008" s="198"/>
      <c r="I1008" s="198"/>
      <c r="J1008" s="198"/>
      <c r="K1008" s="198"/>
      <c r="L1008" s="198"/>
      <c r="M1008" s="198"/>
      <c r="N1008" s="198"/>
      <c r="O1008" s="198"/>
      <c r="P1008" s="198"/>
      <c r="Q1008" s="198"/>
      <c r="R1008" s="198"/>
      <c r="S1008" s="198"/>
    </row>
    <row r="1009" spans="3:19" x14ac:dyDescent="0.25">
      <c r="C1009" s="198"/>
      <c r="D1009" s="198"/>
      <c r="E1009" s="198"/>
      <c r="F1009" s="198"/>
      <c r="G1009" s="198"/>
      <c r="H1009" s="198"/>
      <c r="I1009" s="198"/>
      <c r="J1009" s="198"/>
      <c r="K1009" s="198"/>
      <c r="L1009" s="198"/>
      <c r="M1009" s="198"/>
      <c r="N1009" s="198"/>
      <c r="O1009" s="198"/>
      <c r="P1009" s="198"/>
      <c r="Q1009" s="198"/>
      <c r="R1009" s="198"/>
      <c r="S1009" s="198"/>
    </row>
    <row r="1010" spans="3:19" x14ac:dyDescent="0.25">
      <c r="C1010" s="198"/>
      <c r="D1010" s="198"/>
      <c r="E1010" s="198"/>
      <c r="F1010" s="198"/>
      <c r="G1010" s="198"/>
      <c r="H1010" s="198"/>
      <c r="I1010" s="198"/>
      <c r="J1010" s="198"/>
      <c r="K1010" s="198"/>
      <c r="L1010" s="198"/>
      <c r="M1010" s="198"/>
      <c r="N1010" s="198"/>
      <c r="O1010" s="198"/>
      <c r="P1010" s="198"/>
      <c r="Q1010" s="198"/>
      <c r="R1010" s="198"/>
      <c r="S1010" s="198"/>
    </row>
    <row r="1011" spans="3:19" x14ac:dyDescent="0.25">
      <c r="C1011" s="198"/>
      <c r="D1011" s="198"/>
      <c r="E1011" s="198"/>
      <c r="F1011" s="198"/>
      <c r="G1011" s="198"/>
      <c r="H1011" s="198"/>
      <c r="I1011" s="198"/>
      <c r="J1011" s="198"/>
      <c r="K1011" s="198"/>
      <c r="L1011" s="198"/>
      <c r="M1011" s="198"/>
      <c r="N1011" s="198"/>
      <c r="O1011" s="198"/>
      <c r="P1011" s="198"/>
      <c r="Q1011" s="198"/>
      <c r="R1011" s="198"/>
      <c r="S1011" s="198"/>
    </row>
    <row r="1012" spans="3:19" x14ac:dyDescent="0.25">
      <c r="C1012" s="198"/>
      <c r="D1012" s="198"/>
      <c r="E1012" s="198"/>
      <c r="F1012" s="198"/>
      <c r="G1012" s="198"/>
      <c r="H1012" s="198"/>
      <c r="I1012" s="198"/>
      <c r="J1012" s="198"/>
      <c r="K1012" s="198"/>
      <c r="L1012" s="198"/>
      <c r="M1012" s="198"/>
      <c r="N1012" s="198"/>
      <c r="O1012" s="198"/>
      <c r="P1012" s="198"/>
      <c r="Q1012" s="198"/>
      <c r="R1012" s="198"/>
      <c r="S1012" s="198"/>
    </row>
    <row r="1013" spans="3:19" x14ac:dyDescent="0.25">
      <c r="C1013" s="198"/>
      <c r="D1013" s="198"/>
      <c r="E1013" s="198"/>
      <c r="F1013" s="198"/>
      <c r="G1013" s="198"/>
      <c r="H1013" s="198"/>
      <c r="I1013" s="198"/>
      <c r="J1013" s="198"/>
      <c r="K1013" s="198"/>
      <c r="L1013" s="198"/>
      <c r="M1013" s="198"/>
      <c r="N1013" s="198"/>
      <c r="O1013" s="198"/>
      <c r="P1013" s="198"/>
      <c r="Q1013" s="198"/>
      <c r="R1013" s="198"/>
      <c r="S1013" s="198"/>
    </row>
    <row r="1014" spans="3:19" x14ac:dyDescent="0.25">
      <c r="C1014" s="198"/>
      <c r="D1014" s="198"/>
      <c r="E1014" s="198"/>
      <c r="F1014" s="198"/>
      <c r="G1014" s="198"/>
      <c r="H1014" s="198"/>
      <c r="I1014" s="198"/>
      <c r="J1014" s="198"/>
      <c r="K1014" s="198"/>
      <c r="L1014" s="198"/>
      <c r="M1014" s="198"/>
      <c r="N1014" s="198"/>
      <c r="O1014" s="198"/>
      <c r="P1014" s="198"/>
      <c r="Q1014" s="198"/>
      <c r="R1014" s="198"/>
      <c r="S1014" s="198"/>
    </row>
    <row r="1015" spans="3:19" x14ac:dyDescent="0.25">
      <c r="C1015" s="198"/>
      <c r="D1015" s="198"/>
      <c r="E1015" s="198"/>
      <c r="F1015" s="198"/>
      <c r="G1015" s="198"/>
      <c r="H1015" s="198"/>
      <c r="I1015" s="198"/>
      <c r="J1015" s="198"/>
      <c r="K1015" s="198"/>
      <c r="L1015" s="198"/>
      <c r="M1015" s="198"/>
      <c r="N1015" s="198"/>
      <c r="O1015" s="198"/>
      <c r="P1015" s="198"/>
      <c r="Q1015" s="198"/>
      <c r="R1015" s="198"/>
      <c r="S1015" s="198"/>
    </row>
    <row r="1016" spans="3:19" x14ac:dyDescent="0.25">
      <c r="C1016" s="198"/>
      <c r="D1016" s="198"/>
      <c r="E1016" s="198"/>
      <c r="F1016" s="198"/>
      <c r="G1016" s="198"/>
      <c r="H1016" s="198"/>
      <c r="I1016" s="198"/>
      <c r="J1016" s="198"/>
      <c r="K1016" s="198"/>
      <c r="L1016" s="198"/>
      <c r="M1016" s="198"/>
      <c r="N1016" s="198"/>
      <c r="O1016" s="198"/>
      <c r="P1016" s="198"/>
      <c r="Q1016" s="198"/>
      <c r="R1016" s="198"/>
      <c r="S1016" s="198"/>
    </row>
    <row r="1017" spans="3:19" x14ac:dyDescent="0.25">
      <c r="C1017" s="198"/>
      <c r="D1017" s="198"/>
      <c r="E1017" s="198"/>
      <c r="F1017" s="198"/>
      <c r="G1017" s="198"/>
      <c r="H1017" s="198"/>
      <c r="I1017" s="198"/>
      <c r="J1017" s="198"/>
      <c r="K1017" s="198"/>
      <c r="L1017" s="198"/>
      <c r="M1017" s="198"/>
      <c r="N1017" s="198"/>
      <c r="O1017" s="198"/>
      <c r="P1017" s="198"/>
      <c r="Q1017" s="198"/>
      <c r="R1017" s="198"/>
      <c r="S1017" s="198"/>
    </row>
    <row r="1018" spans="3:19" x14ac:dyDescent="0.25">
      <c r="C1018" s="198"/>
      <c r="D1018" s="198"/>
      <c r="E1018" s="198"/>
      <c r="F1018" s="198"/>
      <c r="G1018" s="198"/>
      <c r="H1018" s="198"/>
      <c r="I1018" s="198"/>
      <c r="J1018" s="198"/>
      <c r="K1018" s="198"/>
      <c r="L1018" s="198"/>
      <c r="M1018" s="198"/>
      <c r="N1018" s="198"/>
      <c r="O1018" s="198"/>
      <c r="P1018" s="198"/>
      <c r="Q1018" s="198"/>
      <c r="R1018" s="198"/>
      <c r="S1018" s="198"/>
    </row>
    <row r="1019" spans="3:19" x14ac:dyDescent="0.25">
      <c r="C1019" s="198"/>
      <c r="D1019" s="198"/>
      <c r="E1019" s="198"/>
      <c r="F1019" s="198"/>
      <c r="G1019" s="198"/>
      <c r="H1019" s="198"/>
      <c r="I1019" s="198"/>
      <c r="J1019" s="198"/>
      <c r="K1019" s="198"/>
      <c r="L1019" s="198"/>
      <c r="M1019" s="198"/>
      <c r="N1019" s="198"/>
      <c r="O1019" s="198"/>
      <c r="P1019" s="198"/>
      <c r="Q1019" s="198"/>
      <c r="R1019" s="198"/>
      <c r="S1019" s="198"/>
    </row>
    <row r="1020" spans="3:19" x14ac:dyDescent="0.25">
      <c r="C1020" s="197"/>
      <c r="D1020" s="197"/>
      <c r="E1020" s="197"/>
      <c r="F1020" s="197"/>
      <c r="G1020" s="197"/>
      <c r="H1020" s="197"/>
      <c r="I1020" s="197"/>
      <c r="J1020" s="197"/>
      <c r="K1020" s="197"/>
      <c r="L1020" s="197"/>
      <c r="M1020" s="197"/>
      <c r="N1020" s="197"/>
      <c r="O1020" s="197"/>
      <c r="P1020" s="197"/>
      <c r="Q1020" s="197"/>
      <c r="R1020" s="197"/>
      <c r="S1020" s="197"/>
    </row>
    <row r="1021" spans="3:19" x14ac:dyDescent="0.25">
      <c r="C1021" s="197"/>
      <c r="D1021" s="197"/>
      <c r="E1021" s="197"/>
      <c r="F1021" s="197"/>
      <c r="G1021" s="197"/>
      <c r="H1021" s="197"/>
      <c r="I1021" s="197"/>
      <c r="J1021" s="197"/>
      <c r="K1021" s="197"/>
      <c r="L1021" s="197"/>
      <c r="M1021" s="197"/>
      <c r="N1021" s="197"/>
      <c r="O1021" s="197"/>
      <c r="P1021" s="197"/>
      <c r="Q1021" s="197"/>
      <c r="R1021" s="197"/>
      <c r="S1021" s="197"/>
    </row>
    <row r="1022" spans="3:19" x14ac:dyDescent="0.25">
      <c r="C1022" s="197"/>
      <c r="D1022" s="197"/>
      <c r="E1022" s="197"/>
      <c r="F1022" s="197"/>
      <c r="G1022" s="197"/>
      <c r="H1022" s="197"/>
      <c r="I1022" s="197"/>
      <c r="J1022" s="197"/>
      <c r="K1022" s="197"/>
      <c r="L1022" s="197"/>
      <c r="M1022" s="197"/>
      <c r="N1022" s="197"/>
      <c r="O1022" s="197"/>
      <c r="P1022" s="197"/>
      <c r="Q1022" s="197"/>
      <c r="R1022" s="197"/>
      <c r="S1022" s="197"/>
    </row>
    <row r="1023" spans="3:19" x14ac:dyDescent="0.25">
      <c r="C1023" s="197"/>
      <c r="D1023" s="197"/>
      <c r="E1023" s="197"/>
      <c r="F1023" s="197"/>
      <c r="G1023" s="197"/>
      <c r="H1023" s="197"/>
      <c r="I1023" s="197"/>
      <c r="J1023" s="197"/>
      <c r="K1023" s="197"/>
      <c r="L1023" s="197"/>
      <c r="M1023" s="197"/>
      <c r="N1023" s="197"/>
      <c r="O1023" s="197"/>
      <c r="P1023" s="197"/>
      <c r="Q1023" s="197"/>
      <c r="R1023" s="197"/>
      <c r="S1023" s="197"/>
    </row>
    <row r="1024" spans="3:19" x14ac:dyDescent="0.25">
      <c r="C1024" s="197"/>
      <c r="D1024" s="197"/>
      <c r="E1024" s="197"/>
      <c r="F1024" s="197"/>
      <c r="G1024" s="197"/>
      <c r="H1024" s="197"/>
      <c r="I1024" s="197"/>
      <c r="J1024" s="197"/>
      <c r="K1024" s="197"/>
      <c r="L1024" s="197"/>
      <c r="M1024" s="197"/>
      <c r="N1024" s="197"/>
      <c r="O1024" s="197"/>
      <c r="P1024" s="197"/>
      <c r="Q1024" s="197"/>
      <c r="R1024" s="197"/>
      <c r="S1024" s="197"/>
    </row>
    <row r="1025" spans="3:19" x14ac:dyDescent="0.25">
      <c r="C1025" s="197"/>
      <c r="D1025" s="197"/>
      <c r="E1025" s="197"/>
      <c r="F1025" s="197"/>
      <c r="G1025" s="197"/>
      <c r="H1025" s="197"/>
      <c r="I1025" s="197"/>
      <c r="J1025" s="197"/>
      <c r="K1025" s="197"/>
      <c r="L1025" s="197"/>
      <c r="M1025" s="197"/>
      <c r="N1025" s="197"/>
      <c r="O1025" s="197"/>
      <c r="P1025" s="197"/>
      <c r="Q1025" s="197"/>
      <c r="R1025" s="197"/>
      <c r="S1025" s="197"/>
    </row>
    <row r="1026" spans="3:19" x14ac:dyDescent="0.25">
      <c r="C1026" s="197"/>
      <c r="D1026" s="197"/>
      <c r="E1026" s="197"/>
      <c r="F1026" s="197"/>
      <c r="G1026" s="197"/>
      <c r="H1026" s="197"/>
      <c r="I1026" s="197"/>
      <c r="J1026" s="197"/>
      <c r="K1026" s="197"/>
      <c r="L1026" s="197"/>
      <c r="M1026" s="197"/>
      <c r="N1026" s="197"/>
      <c r="O1026" s="197"/>
      <c r="P1026" s="197"/>
      <c r="Q1026" s="197"/>
      <c r="R1026" s="197"/>
      <c r="S1026" s="197"/>
    </row>
    <row r="1027" spans="3:19" x14ac:dyDescent="0.25">
      <c r="C1027" s="197"/>
      <c r="D1027" s="197"/>
      <c r="E1027" s="197"/>
      <c r="F1027" s="197"/>
      <c r="G1027" s="197"/>
      <c r="H1027" s="197"/>
      <c r="I1027" s="197"/>
      <c r="J1027" s="197"/>
      <c r="K1027" s="197"/>
      <c r="L1027" s="197"/>
      <c r="M1027" s="197"/>
      <c r="N1027" s="197"/>
      <c r="O1027" s="197"/>
      <c r="P1027" s="197"/>
      <c r="Q1027" s="197"/>
      <c r="R1027" s="197"/>
      <c r="S1027" s="197"/>
    </row>
    <row r="1028" spans="3:19" x14ac:dyDescent="0.25">
      <c r="C1028" s="197"/>
      <c r="D1028" s="197"/>
      <c r="E1028" s="197"/>
      <c r="F1028" s="197"/>
      <c r="G1028" s="197"/>
      <c r="H1028" s="197"/>
      <c r="I1028" s="197"/>
      <c r="J1028" s="197"/>
      <c r="K1028" s="197"/>
      <c r="L1028" s="197"/>
      <c r="M1028" s="197"/>
      <c r="N1028" s="197"/>
      <c r="O1028" s="197"/>
      <c r="P1028" s="197"/>
      <c r="Q1028" s="197"/>
      <c r="R1028" s="197"/>
      <c r="S1028" s="197"/>
    </row>
    <row r="1029" spans="3:19" x14ac:dyDescent="0.25">
      <c r="C1029" s="197"/>
      <c r="D1029" s="197"/>
      <c r="E1029" s="197"/>
      <c r="F1029" s="197"/>
      <c r="G1029" s="197"/>
      <c r="H1029" s="197"/>
      <c r="I1029" s="197"/>
      <c r="J1029" s="197"/>
      <c r="K1029" s="197"/>
      <c r="L1029" s="197"/>
      <c r="M1029" s="197"/>
      <c r="N1029" s="197"/>
      <c r="O1029" s="197"/>
      <c r="P1029" s="197"/>
      <c r="Q1029" s="197"/>
      <c r="R1029" s="197"/>
      <c r="S1029" s="197"/>
    </row>
    <row r="1030" spans="3:19" x14ac:dyDescent="0.25">
      <c r="C1030" s="197"/>
      <c r="D1030" s="197"/>
      <c r="E1030" s="197"/>
      <c r="F1030" s="197"/>
      <c r="G1030" s="197"/>
      <c r="H1030" s="197"/>
      <c r="I1030" s="197"/>
      <c r="J1030" s="197"/>
      <c r="K1030" s="197"/>
      <c r="L1030" s="197"/>
      <c r="M1030" s="197"/>
      <c r="N1030" s="197"/>
      <c r="O1030" s="197"/>
      <c r="P1030" s="197"/>
      <c r="Q1030" s="197"/>
      <c r="R1030" s="197"/>
      <c r="S1030" s="197"/>
    </row>
    <row r="1031" spans="3:19" x14ac:dyDescent="0.25">
      <c r="C1031" s="197"/>
      <c r="D1031" s="197"/>
      <c r="E1031" s="197"/>
      <c r="F1031" s="197"/>
      <c r="G1031" s="197"/>
      <c r="H1031" s="197"/>
      <c r="I1031" s="197"/>
      <c r="J1031" s="197"/>
      <c r="K1031" s="197"/>
      <c r="L1031" s="197"/>
      <c r="M1031" s="197"/>
      <c r="N1031" s="197"/>
      <c r="O1031" s="197"/>
      <c r="P1031" s="197"/>
      <c r="Q1031" s="197"/>
      <c r="R1031" s="197"/>
      <c r="S1031" s="197"/>
    </row>
    <row r="1032" spans="3:19" x14ac:dyDescent="0.25">
      <c r="C1032" s="197"/>
      <c r="D1032" s="197"/>
      <c r="E1032" s="197"/>
      <c r="F1032" s="197"/>
      <c r="G1032" s="197"/>
      <c r="H1032" s="197"/>
      <c r="I1032" s="197"/>
      <c r="J1032" s="197"/>
      <c r="K1032" s="197"/>
      <c r="L1032" s="197"/>
      <c r="M1032" s="197"/>
      <c r="N1032" s="197"/>
      <c r="O1032" s="197"/>
      <c r="P1032" s="197"/>
      <c r="Q1032" s="197"/>
      <c r="R1032" s="197"/>
      <c r="S1032" s="197"/>
    </row>
    <row r="1033" spans="3:19" x14ac:dyDescent="0.25">
      <c r="C1033" s="197"/>
      <c r="D1033" s="197"/>
      <c r="E1033" s="197"/>
      <c r="F1033" s="197"/>
      <c r="G1033" s="197"/>
      <c r="H1033" s="197"/>
      <c r="I1033" s="197"/>
      <c r="J1033" s="197"/>
      <c r="K1033" s="197"/>
      <c r="L1033" s="197"/>
      <c r="M1033" s="197"/>
      <c r="N1033" s="197"/>
      <c r="O1033" s="197"/>
      <c r="P1033" s="197"/>
      <c r="Q1033" s="197"/>
      <c r="R1033" s="197"/>
      <c r="S1033" s="197"/>
    </row>
    <row r="1034" spans="3:19" x14ac:dyDescent="0.25">
      <c r="C1034" s="197"/>
      <c r="D1034" s="197"/>
      <c r="E1034" s="197"/>
      <c r="F1034" s="197"/>
      <c r="G1034" s="197"/>
      <c r="H1034" s="197"/>
      <c r="I1034" s="197"/>
      <c r="J1034" s="197"/>
      <c r="K1034" s="197"/>
      <c r="L1034" s="197"/>
      <c r="M1034" s="197"/>
      <c r="N1034" s="197"/>
      <c r="O1034" s="197"/>
      <c r="P1034" s="197"/>
      <c r="Q1034" s="197"/>
      <c r="R1034" s="197"/>
      <c r="S1034" s="197"/>
    </row>
    <row r="1035" spans="3:19" x14ac:dyDescent="0.25">
      <c r="C1035" s="197"/>
      <c r="D1035" s="197"/>
      <c r="E1035" s="197"/>
      <c r="F1035" s="197"/>
      <c r="G1035" s="197"/>
      <c r="H1035" s="197"/>
      <c r="I1035" s="197"/>
      <c r="J1035" s="197"/>
      <c r="K1035" s="197"/>
      <c r="L1035" s="197"/>
      <c r="M1035" s="197"/>
      <c r="N1035" s="197"/>
      <c r="O1035" s="197"/>
      <c r="P1035" s="197"/>
      <c r="Q1035" s="197"/>
      <c r="R1035" s="197"/>
      <c r="S1035" s="197"/>
    </row>
    <row r="1036" spans="3:19" x14ac:dyDescent="0.25">
      <c r="C1036" s="197"/>
      <c r="D1036" s="197"/>
      <c r="E1036" s="197"/>
      <c r="F1036" s="197"/>
      <c r="G1036" s="197"/>
      <c r="H1036" s="197"/>
      <c r="I1036" s="197"/>
      <c r="J1036" s="197"/>
      <c r="K1036" s="197"/>
      <c r="L1036" s="197"/>
      <c r="M1036" s="197"/>
      <c r="N1036" s="197"/>
      <c r="O1036" s="197"/>
      <c r="P1036" s="197"/>
      <c r="Q1036" s="197"/>
      <c r="R1036" s="197"/>
      <c r="S1036" s="197"/>
    </row>
    <row r="1037" spans="3:19" x14ac:dyDescent="0.25">
      <c r="C1037" s="197"/>
      <c r="D1037" s="197"/>
      <c r="E1037" s="197"/>
      <c r="F1037" s="197"/>
      <c r="G1037" s="197"/>
      <c r="H1037" s="197"/>
      <c r="I1037" s="197"/>
      <c r="J1037" s="197"/>
      <c r="K1037" s="197"/>
      <c r="L1037" s="197"/>
      <c r="M1037" s="197"/>
      <c r="N1037" s="197"/>
      <c r="O1037" s="197"/>
      <c r="P1037" s="197"/>
      <c r="Q1037" s="197"/>
      <c r="R1037" s="197"/>
      <c r="S1037" s="197"/>
    </row>
    <row r="1038" spans="3:19" x14ac:dyDescent="0.25">
      <c r="C1038" s="197"/>
      <c r="D1038" s="197"/>
      <c r="E1038" s="197"/>
      <c r="F1038" s="197"/>
      <c r="G1038" s="197"/>
      <c r="H1038" s="197"/>
      <c r="I1038" s="197"/>
      <c r="J1038" s="197"/>
      <c r="K1038" s="197"/>
      <c r="L1038" s="197"/>
      <c r="M1038" s="197"/>
      <c r="N1038" s="197"/>
      <c r="O1038" s="197"/>
      <c r="P1038" s="197"/>
      <c r="Q1038" s="197"/>
      <c r="R1038" s="197"/>
      <c r="S1038" s="197"/>
    </row>
    <row r="1039" spans="3:19" x14ac:dyDescent="0.25">
      <c r="C1039" s="197"/>
      <c r="D1039" s="197"/>
      <c r="E1039" s="197"/>
      <c r="F1039" s="197"/>
      <c r="G1039" s="197"/>
      <c r="H1039" s="197"/>
      <c r="I1039" s="197"/>
      <c r="J1039" s="197"/>
      <c r="K1039" s="197"/>
      <c r="L1039" s="197"/>
      <c r="M1039" s="197"/>
      <c r="N1039" s="197"/>
      <c r="O1039" s="197"/>
      <c r="P1039" s="197"/>
      <c r="Q1039" s="197"/>
      <c r="R1039" s="197"/>
      <c r="S1039" s="197"/>
    </row>
    <row r="1040" spans="3:19" x14ac:dyDescent="0.25">
      <c r="C1040" s="197"/>
      <c r="D1040" s="197"/>
      <c r="E1040" s="197"/>
      <c r="F1040" s="197"/>
      <c r="G1040" s="197"/>
      <c r="H1040" s="197"/>
      <c r="I1040" s="197"/>
      <c r="J1040" s="197"/>
      <c r="K1040" s="197"/>
      <c r="L1040" s="197"/>
      <c r="M1040" s="197"/>
      <c r="N1040" s="197"/>
      <c r="O1040" s="197"/>
      <c r="P1040" s="197"/>
      <c r="Q1040" s="197"/>
      <c r="R1040" s="197"/>
      <c r="S1040" s="197"/>
    </row>
    <row r="1041" spans="3:19" x14ac:dyDescent="0.25">
      <c r="C1041" s="197"/>
      <c r="D1041" s="197"/>
      <c r="E1041" s="197"/>
      <c r="F1041" s="197"/>
      <c r="G1041" s="197"/>
      <c r="H1041" s="197"/>
      <c r="I1041" s="197"/>
      <c r="J1041" s="197"/>
      <c r="K1041" s="197"/>
      <c r="L1041" s="197"/>
      <c r="M1041" s="197"/>
      <c r="N1041" s="197"/>
      <c r="O1041" s="197"/>
      <c r="P1041" s="197"/>
      <c r="Q1041" s="197"/>
      <c r="R1041" s="197"/>
      <c r="S1041" s="197"/>
    </row>
    <row r="1042" spans="3:19" x14ac:dyDescent="0.25">
      <c r="C1042" s="197"/>
      <c r="D1042" s="197"/>
      <c r="E1042" s="197"/>
      <c r="F1042" s="197"/>
      <c r="G1042" s="197"/>
      <c r="H1042" s="197"/>
      <c r="I1042" s="197"/>
      <c r="J1042" s="197"/>
      <c r="K1042" s="197"/>
      <c r="L1042" s="197"/>
      <c r="M1042" s="197"/>
      <c r="N1042" s="197"/>
      <c r="O1042" s="197"/>
      <c r="P1042" s="197"/>
      <c r="Q1042" s="197"/>
      <c r="R1042" s="197"/>
      <c r="S1042" s="197"/>
    </row>
    <row r="1043" spans="3:19" x14ac:dyDescent="0.25">
      <c r="C1043" s="197"/>
      <c r="D1043" s="197"/>
      <c r="E1043" s="197"/>
      <c r="F1043" s="197"/>
      <c r="G1043" s="197"/>
      <c r="H1043" s="197"/>
      <c r="I1043" s="197"/>
      <c r="J1043" s="197"/>
      <c r="K1043" s="197"/>
      <c r="L1043" s="197"/>
      <c r="M1043" s="197"/>
      <c r="N1043" s="197"/>
      <c r="O1043" s="197"/>
      <c r="P1043" s="197"/>
      <c r="Q1043" s="197"/>
      <c r="R1043" s="197"/>
      <c r="S1043" s="197"/>
    </row>
    <row r="1044" spans="3:19" x14ac:dyDescent="0.25">
      <c r="C1044" s="197"/>
      <c r="D1044" s="197"/>
      <c r="E1044" s="197"/>
      <c r="F1044" s="197"/>
      <c r="G1044" s="197"/>
      <c r="H1044" s="197"/>
      <c r="I1044" s="197"/>
      <c r="J1044" s="197"/>
      <c r="K1044" s="197"/>
      <c r="L1044" s="197"/>
      <c r="M1044" s="197"/>
      <c r="N1044" s="197"/>
      <c r="O1044" s="197"/>
      <c r="P1044" s="197"/>
      <c r="Q1044" s="197"/>
      <c r="R1044" s="197"/>
      <c r="S1044" s="197"/>
    </row>
    <row r="1045" spans="3:19" x14ac:dyDescent="0.25">
      <c r="C1045" s="197"/>
      <c r="D1045" s="197"/>
      <c r="E1045" s="197"/>
      <c r="F1045" s="197"/>
      <c r="G1045" s="197"/>
      <c r="H1045" s="197"/>
      <c r="I1045" s="197"/>
      <c r="J1045" s="197"/>
      <c r="K1045" s="197"/>
      <c r="L1045" s="197"/>
      <c r="M1045" s="197"/>
      <c r="N1045" s="197"/>
      <c r="O1045" s="197"/>
      <c r="P1045" s="197"/>
      <c r="Q1045" s="197"/>
      <c r="R1045" s="197"/>
      <c r="S1045" s="197"/>
    </row>
    <row r="1046" spans="3:19" x14ac:dyDescent="0.25">
      <c r="C1046" s="197"/>
      <c r="D1046" s="197"/>
      <c r="E1046" s="197"/>
      <c r="F1046" s="197"/>
      <c r="G1046" s="197"/>
      <c r="H1046" s="197"/>
      <c r="I1046" s="197"/>
      <c r="J1046" s="197"/>
      <c r="K1046" s="197"/>
      <c r="L1046" s="197"/>
      <c r="M1046" s="197"/>
      <c r="N1046" s="197"/>
      <c r="O1046" s="197"/>
      <c r="P1046" s="197"/>
      <c r="Q1046" s="197"/>
      <c r="R1046" s="197"/>
      <c r="S1046" s="197"/>
    </row>
    <row r="1047" spans="3:19" x14ac:dyDescent="0.25">
      <c r="C1047" s="197"/>
      <c r="D1047" s="197"/>
      <c r="E1047" s="197"/>
      <c r="F1047" s="197"/>
      <c r="G1047" s="197"/>
      <c r="H1047" s="197"/>
      <c r="I1047" s="197"/>
      <c r="J1047" s="197"/>
      <c r="K1047" s="197"/>
      <c r="L1047" s="197"/>
      <c r="M1047" s="197"/>
      <c r="N1047" s="197"/>
      <c r="O1047" s="197"/>
      <c r="P1047" s="197"/>
      <c r="Q1047" s="197"/>
      <c r="R1047" s="197"/>
      <c r="S1047" s="197"/>
    </row>
    <row r="1048" spans="3:19" x14ac:dyDescent="0.25">
      <c r="C1048" s="197"/>
      <c r="D1048" s="197"/>
      <c r="E1048" s="197"/>
      <c r="F1048" s="197"/>
      <c r="G1048" s="197"/>
      <c r="H1048" s="197"/>
      <c r="I1048" s="197"/>
      <c r="J1048" s="197"/>
      <c r="K1048" s="197"/>
      <c r="L1048" s="197"/>
      <c r="M1048" s="197"/>
      <c r="N1048" s="197"/>
      <c r="O1048" s="197"/>
      <c r="P1048" s="197"/>
      <c r="Q1048" s="197"/>
      <c r="R1048" s="197"/>
      <c r="S1048" s="197"/>
    </row>
    <row r="1049" spans="3:19" x14ac:dyDescent="0.25">
      <c r="C1049" s="197"/>
      <c r="D1049" s="197"/>
      <c r="E1049" s="197"/>
      <c r="F1049" s="197"/>
      <c r="G1049" s="197"/>
      <c r="H1049" s="197"/>
      <c r="I1049" s="197"/>
      <c r="J1049" s="197"/>
      <c r="K1049" s="197"/>
      <c r="L1049" s="197"/>
      <c r="M1049" s="197"/>
      <c r="N1049" s="197"/>
      <c r="O1049" s="197"/>
      <c r="P1049" s="197"/>
      <c r="Q1049" s="197"/>
      <c r="R1049" s="197"/>
      <c r="S1049" s="197"/>
    </row>
    <row r="1050" spans="3:19" x14ac:dyDescent="0.25">
      <c r="C1050" s="197"/>
      <c r="D1050" s="197"/>
      <c r="E1050" s="197"/>
      <c r="F1050" s="197"/>
      <c r="G1050" s="197"/>
      <c r="H1050" s="197"/>
      <c r="I1050" s="197"/>
      <c r="J1050" s="197"/>
      <c r="K1050" s="197"/>
      <c r="L1050" s="197"/>
      <c r="M1050" s="197"/>
      <c r="N1050" s="197"/>
      <c r="O1050" s="197"/>
      <c r="P1050" s="197"/>
      <c r="Q1050" s="197"/>
      <c r="R1050" s="197"/>
      <c r="S1050" s="197"/>
    </row>
    <row r="1051" spans="3:19" x14ac:dyDescent="0.25">
      <c r="C1051" s="197"/>
      <c r="D1051" s="197"/>
      <c r="E1051" s="197"/>
      <c r="F1051" s="197"/>
      <c r="G1051" s="197"/>
      <c r="H1051" s="197"/>
      <c r="I1051" s="197"/>
      <c r="J1051" s="197"/>
      <c r="K1051" s="197"/>
      <c r="L1051" s="197"/>
      <c r="M1051" s="197"/>
      <c r="N1051" s="197"/>
      <c r="O1051" s="197"/>
      <c r="P1051" s="197"/>
      <c r="Q1051" s="197"/>
      <c r="R1051" s="197"/>
      <c r="S1051" s="197"/>
    </row>
    <row r="1052" spans="3:19" x14ac:dyDescent="0.25">
      <c r="C1052" s="197"/>
      <c r="D1052" s="197"/>
      <c r="E1052" s="197"/>
      <c r="F1052" s="197"/>
      <c r="G1052" s="197"/>
      <c r="H1052" s="197"/>
      <c r="I1052" s="197"/>
      <c r="J1052" s="197"/>
      <c r="K1052" s="197"/>
      <c r="L1052" s="197"/>
      <c r="M1052" s="197"/>
      <c r="N1052" s="197"/>
      <c r="O1052" s="197"/>
      <c r="P1052" s="197"/>
      <c r="Q1052" s="197"/>
      <c r="R1052" s="197"/>
      <c r="S1052" s="197"/>
    </row>
    <row r="1053" spans="3:19" x14ac:dyDescent="0.25">
      <c r="C1053" s="197"/>
      <c r="D1053" s="197"/>
      <c r="E1053" s="197"/>
      <c r="F1053" s="197"/>
      <c r="G1053" s="197"/>
      <c r="H1053" s="197"/>
      <c r="I1053" s="197"/>
      <c r="J1053" s="197"/>
      <c r="K1053" s="197"/>
      <c r="L1053" s="197"/>
      <c r="M1053" s="197"/>
      <c r="N1053" s="197"/>
      <c r="O1053" s="197"/>
      <c r="P1053" s="197"/>
      <c r="Q1053" s="197"/>
      <c r="R1053" s="197"/>
      <c r="S1053" s="197"/>
    </row>
    <row r="1054" spans="3:19" x14ac:dyDescent="0.25">
      <c r="C1054" s="197"/>
      <c r="D1054" s="197"/>
      <c r="E1054" s="197"/>
      <c r="F1054" s="197"/>
      <c r="G1054" s="197"/>
      <c r="H1054" s="197"/>
      <c r="I1054" s="197"/>
      <c r="J1054" s="197"/>
      <c r="K1054" s="197"/>
      <c r="L1054" s="197"/>
      <c r="M1054" s="197"/>
      <c r="N1054" s="197"/>
      <c r="O1054" s="197"/>
      <c r="P1054" s="197"/>
      <c r="Q1054" s="197"/>
      <c r="R1054" s="197"/>
      <c r="S1054" s="197"/>
    </row>
    <row r="1055" spans="3:19" x14ac:dyDescent="0.25">
      <c r="C1055" s="197"/>
      <c r="D1055" s="197"/>
      <c r="E1055" s="197"/>
      <c r="F1055" s="197"/>
      <c r="G1055" s="197"/>
      <c r="H1055" s="197"/>
      <c r="I1055" s="197"/>
      <c r="J1055" s="197"/>
      <c r="K1055" s="197"/>
      <c r="L1055" s="197"/>
      <c r="M1055" s="197"/>
      <c r="N1055" s="197"/>
      <c r="O1055" s="197"/>
      <c r="P1055" s="197"/>
      <c r="Q1055" s="197"/>
      <c r="R1055" s="197"/>
      <c r="S1055" s="197"/>
    </row>
    <row r="1056" spans="3:19" x14ac:dyDescent="0.25">
      <c r="C1056" s="197"/>
      <c r="D1056" s="197"/>
      <c r="E1056" s="197"/>
      <c r="F1056" s="197"/>
      <c r="G1056" s="197"/>
      <c r="H1056" s="197"/>
      <c r="I1056" s="197"/>
      <c r="J1056" s="197"/>
      <c r="K1056" s="197"/>
      <c r="L1056" s="197"/>
      <c r="M1056" s="197"/>
      <c r="N1056" s="197"/>
      <c r="O1056" s="197"/>
      <c r="P1056" s="197"/>
      <c r="Q1056" s="197"/>
      <c r="R1056" s="197"/>
      <c r="S1056" s="197"/>
    </row>
    <row r="1057" spans="3:19" x14ac:dyDescent="0.25">
      <c r="C1057" s="197"/>
      <c r="D1057" s="197"/>
      <c r="E1057" s="197"/>
      <c r="F1057" s="197"/>
      <c r="G1057" s="197"/>
      <c r="H1057" s="197"/>
      <c r="I1057" s="197"/>
      <c r="J1057" s="197"/>
      <c r="K1057" s="197"/>
      <c r="L1057" s="197"/>
      <c r="M1057" s="197"/>
      <c r="N1057" s="197"/>
      <c r="O1057" s="197"/>
      <c r="P1057" s="197"/>
      <c r="Q1057" s="197"/>
      <c r="R1057" s="197"/>
      <c r="S1057" s="197"/>
    </row>
    <row r="1058" spans="3:19" x14ac:dyDescent="0.25">
      <c r="C1058" s="197"/>
      <c r="D1058" s="197"/>
      <c r="E1058" s="197"/>
      <c r="F1058" s="197"/>
      <c r="G1058" s="197"/>
      <c r="H1058" s="197"/>
      <c r="I1058" s="197"/>
      <c r="J1058" s="197"/>
      <c r="K1058" s="197"/>
      <c r="L1058" s="197"/>
      <c r="M1058" s="197"/>
      <c r="N1058" s="197"/>
      <c r="O1058" s="197"/>
      <c r="P1058" s="197"/>
      <c r="Q1058" s="197"/>
      <c r="R1058" s="197"/>
      <c r="S1058" s="197"/>
    </row>
    <row r="1059" spans="3:19" x14ac:dyDescent="0.25">
      <c r="C1059" s="197"/>
      <c r="D1059" s="197"/>
      <c r="E1059" s="197"/>
      <c r="F1059" s="197"/>
      <c r="G1059" s="197"/>
      <c r="H1059" s="197"/>
      <c r="I1059" s="197"/>
      <c r="J1059" s="197"/>
      <c r="K1059" s="197"/>
      <c r="L1059" s="197"/>
      <c r="M1059" s="197"/>
      <c r="N1059" s="197"/>
      <c r="O1059" s="197"/>
      <c r="P1059" s="197"/>
      <c r="Q1059" s="197"/>
      <c r="R1059" s="197"/>
      <c r="S1059" s="197"/>
    </row>
    <row r="1060" spans="3:19" x14ac:dyDescent="0.25">
      <c r="C1060" s="197"/>
      <c r="D1060" s="197"/>
      <c r="E1060" s="197"/>
      <c r="F1060" s="197"/>
      <c r="G1060" s="197"/>
      <c r="H1060" s="197"/>
      <c r="I1060" s="197"/>
      <c r="J1060" s="197"/>
      <c r="K1060" s="197"/>
      <c r="L1060" s="197"/>
      <c r="M1060" s="197"/>
      <c r="N1060" s="197"/>
      <c r="O1060" s="197"/>
      <c r="P1060" s="197"/>
      <c r="Q1060" s="197"/>
      <c r="R1060" s="197"/>
      <c r="S1060" s="197"/>
    </row>
    <row r="1061" spans="3:19" x14ac:dyDescent="0.25">
      <c r="C1061" s="197"/>
      <c r="D1061" s="197"/>
      <c r="E1061" s="197"/>
      <c r="F1061" s="197"/>
      <c r="G1061" s="197"/>
      <c r="H1061" s="197"/>
      <c r="I1061" s="197"/>
      <c r="J1061" s="197"/>
      <c r="K1061" s="197"/>
      <c r="L1061" s="197"/>
      <c r="M1061" s="197"/>
      <c r="N1061" s="197"/>
      <c r="O1061" s="197"/>
      <c r="P1061" s="197"/>
      <c r="Q1061" s="197"/>
      <c r="R1061" s="197"/>
      <c r="S1061" s="197"/>
    </row>
    <row r="1062" spans="3:19" x14ac:dyDescent="0.25">
      <c r="C1062" s="197"/>
      <c r="D1062" s="197"/>
      <c r="E1062" s="197"/>
      <c r="F1062" s="197"/>
      <c r="G1062" s="197"/>
      <c r="H1062" s="197"/>
      <c r="I1062" s="197"/>
      <c r="J1062" s="197"/>
      <c r="K1062" s="197"/>
      <c r="L1062" s="197"/>
      <c r="M1062" s="197"/>
      <c r="N1062" s="197"/>
      <c r="O1062" s="197"/>
      <c r="P1062" s="197"/>
      <c r="Q1062" s="197"/>
      <c r="R1062" s="197"/>
      <c r="S1062" s="197"/>
    </row>
    <row r="1063" spans="3:19" x14ac:dyDescent="0.25">
      <c r="C1063" s="197"/>
      <c r="D1063" s="197"/>
      <c r="E1063" s="197"/>
      <c r="F1063" s="197"/>
      <c r="G1063" s="197"/>
      <c r="H1063" s="197"/>
      <c r="I1063" s="197"/>
      <c r="J1063" s="197"/>
      <c r="K1063" s="197"/>
      <c r="L1063" s="197"/>
      <c r="M1063" s="197"/>
      <c r="N1063" s="197"/>
      <c r="O1063" s="197"/>
      <c r="P1063" s="197"/>
      <c r="Q1063" s="197"/>
      <c r="R1063" s="197"/>
      <c r="S1063" s="197"/>
    </row>
    <row r="1064" spans="3:19" x14ac:dyDescent="0.25">
      <c r="C1064" s="197"/>
      <c r="D1064" s="197"/>
      <c r="E1064" s="197"/>
      <c r="F1064" s="197"/>
      <c r="G1064" s="197"/>
      <c r="H1064" s="197"/>
      <c r="I1064" s="197"/>
      <c r="J1064" s="197"/>
      <c r="K1064" s="197"/>
      <c r="L1064" s="197"/>
      <c r="M1064" s="197"/>
      <c r="N1064" s="197"/>
      <c r="O1064" s="197"/>
      <c r="P1064" s="197"/>
      <c r="Q1064" s="197"/>
      <c r="R1064" s="197"/>
      <c r="S1064" s="197"/>
    </row>
    <row r="1065" spans="3:19" x14ac:dyDescent="0.25">
      <c r="C1065" s="197"/>
      <c r="D1065" s="197"/>
      <c r="E1065" s="197"/>
      <c r="F1065" s="197"/>
      <c r="G1065" s="197"/>
      <c r="H1065" s="197"/>
      <c r="I1065" s="197"/>
      <c r="J1065" s="197"/>
      <c r="K1065" s="197"/>
      <c r="L1065" s="197"/>
      <c r="M1065" s="197"/>
      <c r="N1065" s="197"/>
      <c r="O1065" s="197"/>
      <c r="P1065" s="197"/>
      <c r="Q1065" s="197"/>
      <c r="R1065" s="197"/>
      <c r="S1065" s="197"/>
    </row>
    <row r="1066" spans="3:19" x14ac:dyDescent="0.25">
      <c r="C1066" s="197"/>
      <c r="D1066" s="197"/>
      <c r="E1066" s="197"/>
      <c r="F1066" s="197"/>
      <c r="G1066" s="197"/>
      <c r="H1066" s="197"/>
      <c r="I1066" s="197"/>
      <c r="J1066" s="197"/>
      <c r="K1066" s="197"/>
      <c r="L1066" s="197"/>
      <c r="M1066" s="197"/>
      <c r="N1066" s="197"/>
      <c r="O1066" s="197"/>
      <c r="P1066" s="197"/>
      <c r="Q1066" s="197"/>
      <c r="R1066" s="197"/>
      <c r="S1066" s="197"/>
    </row>
    <row r="1067" spans="3:19" x14ac:dyDescent="0.25">
      <c r="C1067" s="197"/>
      <c r="D1067" s="197"/>
      <c r="E1067" s="197"/>
      <c r="F1067" s="197"/>
      <c r="G1067" s="197"/>
      <c r="H1067" s="197"/>
      <c r="I1067" s="197"/>
      <c r="J1067" s="197"/>
      <c r="K1067" s="197"/>
      <c r="L1067" s="197"/>
      <c r="M1067" s="197"/>
      <c r="N1067" s="197"/>
      <c r="O1067" s="197"/>
      <c r="P1067" s="197"/>
      <c r="Q1067" s="197"/>
      <c r="R1067" s="197"/>
      <c r="S1067" s="197"/>
    </row>
    <row r="1068" spans="3:19" x14ac:dyDescent="0.25">
      <c r="C1068" s="197"/>
      <c r="D1068" s="197"/>
      <c r="E1068" s="197"/>
      <c r="F1068" s="197"/>
      <c r="G1068" s="197"/>
      <c r="H1068" s="197"/>
      <c r="I1068" s="197"/>
      <c r="J1068" s="197"/>
      <c r="K1068" s="197"/>
      <c r="L1068" s="197"/>
      <c r="M1068" s="197"/>
      <c r="N1068" s="197"/>
      <c r="O1068" s="197"/>
      <c r="P1068" s="197"/>
      <c r="Q1068" s="197"/>
      <c r="R1068" s="197"/>
      <c r="S1068" s="197"/>
    </row>
    <row r="1069" spans="3:19" x14ac:dyDescent="0.25">
      <c r="C1069" s="197"/>
      <c r="D1069" s="197"/>
      <c r="E1069" s="197"/>
      <c r="F1069" s="197"/>
      <c r="G1069" s="197"/>
      <c r="H1069" s="197"/>
      <c r="I1069" s="197"/>
      <c r="J1069" s="197"/>
      <c r="K1069" s="197"/>
      <c r="L1069" s="197"/>
      <c r="M1069" s="197"/>
      <c r="N1069" s="197"/>
      <c r="O1069" s="197"/>
      <c r="P1069" s="197"/>
      <c r="Q1069" s="197"/>
      <c r="R1069" s="197"/>
      <c r="S1069" s="197"/>
    </row>
    <row r="1070" spans="3:19" x14ac:dyDescent="0.25">
      <c r="C1070" s="197"/>
      <c r="D1070" s="197"/>
      <c r="E1070" s="197"/>
      <c r="F1070" s="197"/>
      <c r="G1070" s="197"/>
      <c r="H1070" s="197"/>
      <c r="I1070" s="197"/>
      <c r="J1070" s="197"/>
      <c r="K1070" s="197"/>
      <c r="L1070" s="197"/>
      <c r="M1070" s="197"/>
      <c r="N1070" s="197"/>
      <c r="O1070" s="197"/>
      <c r="P1070" s="197"/>
      <c r="Q1070" s="197"/>
      <c r="R1070" s="197"/>
      <c r="S1070" s="197"/>
    </row>
    <row r="1071" spans="3:19" x14ac:dyDescent="0.25">
      <c r="C1071" s="197"/>
      <c r="D1071" s="197"/>
      <c r="E1071" s="197"/>
      <c r="F1071" s="197"/>
      <c r="G1071" s="197"/>
      <c r="H1071" s="197"/>
      <c r="I1071" s="197"/>
      <c r="J1071" s="197"/>
      <c r="K1071" s="197"/>
      <c r="L1071" s="197"/>
      <c r="M1071" s="197"/>
      <c r="N1071" s="197"/>
      <c r="O1071" s="197"/>
      <c r="P1071" s="197"/>
      <c r="Q1071" s="197"/>
      <c r="R1071" s="197"/>
      <c r="S1071" s="197"/>
    </row>
    <row r="1072" spans="3:19" x14ac:dyDescent="0.25">
      <c r="C1072" s="197"/>
      <c r="D1072" s="197"/>
      <c r="E1072" s="197"/>
      <c r="F1072" s="197"/>
      <c r="G1072" s="197"/>
      <c r="H1072" s="197"/>
      <c r="I1072" s="197"/>
      <c r="J1072" s="197"/>
      <c r="K1072" s="197"/>
      <c r="L1072" s="197"/>
      <c r="M1072" s="197"/>
      <c r="N1072" s="197"/>
      <c r="O1072" s="197"/>
      <c r="P1072" s="197"/>
      <c r="Q1072" s="197"/>
      <c r="R1072" s="197"/>
      <c r="S1072" s="197"/>
    </row>
    <row r="1073" spans="3:19" x14ac:dyDescent="0.25">
      <c r="C1073" s="197"/>
      <c r="D1073" s="197"/>
      <c r="E1073" s="197"/>
      <c r="F1073" s="197"/>
      <c r="G1073" s="197"/>
      <c r="H1073" s="197"/>
      <c r="I1073" s="197"/>
      <c r="J1073" s="197"/>
      <c r="K1073" s="197"/>
      <c r="L1073" s="197"/>
      <c r="M1073" s="197"/>
      <c r="N1073" s="197"/>
      <c r="O1073" s="197"/>
      <c r="P1073" s="197"/>
      <c r="Q1073" s="197"/>
      <c r="R1073" s="197"/>
      <c r="S1073" s="197"/>
    </row>
    <row r="1074" spans="3:19" x14ac:dyDescent="0.25">
      <c r="C1074" s="197"/>
      <c r="D1074" s="197"/>
      <c r="E1074" s="197"/>
      <c r="F1074" s="197"/>
      <c r="G1074" s="197"/>
      <c r="H1074" s="197"/>
      <c r="I1074" s="197"/>
      <c r="J1074" s="197"/>
      <c r="K1074" s="197"/>
      <c r="L1074" s="197"/>
      <c r="M1074" s="197"/>
      <c r="N1074" s="197"/>
      <c r="O1074" s="197"/>
      <c r="P1074" s="197"/>
      <c r="Q1074" s="197"/>
      <c r="R1074" s="197"/>
      <c r="S1074" s="197"/>
    </row>
    <row r="1075" spans="3:19" x14ac:dyDescent="0.25">
      <c r="C1075" s="197"/>
      <c r="D1075" s="197"/>
      <c r="E1075" s="197"/>
      <c r="F1075" s="197"/>
      <c r="G1075" s="197"/>
      <c r="H1075" s="197"/>
      <c r="I1075" s="197"/>
      <c r="J1075" s="197"/>
      <c r="K1075" s="197"/>
      <c r="L1075" s="197"/>
      <c r="M1075" s="197"/>
      <c r="N1075" s="197"/>
      <c r="O1075" s="197"/>
      <c r="P1075" s="197"/>
      <c r="Q1075" s="197"/>
      <c r="R1075" s="197"/>
      <c r="S1075" s="197"/>
    </row>
    <row r="1076" spans="3:19" x14ac:dyDescent="0.25">
      <c r="C1076" s="197"/>
      <c r="D1076" s="197"/>
      <c r="E1076" s="197"/>
      <c r="F1076" s="197"/>
      <c r="G1076" s="197"/>
      <c r="H1076" s="197"/>
      <c r="I1076" s="197"/>
      <c r="J1076" s="197"/>
      <c r="K1076" s="197"/>
      <c r="L1076" s="197"/>
      <c r="M1076" s="197"/>
      <c r="N1076" s="197"/>
      <c r="O1076" s="197"/>
      <c r="P1076" s="197"/>
      <c r="Q1076" s="197"/>
      <c r="R1076" s="197"/>
      <c r="S1076" s="197"/>
    </row>
    <row r="1077" spans="3:19" x14ac:dyDescent="0.25">
      <c r="C1077" s="197"/>
      <c r="D1077" s="197"/>
      <c r="E1077" s="197"/>
      <c r="F1077" s="197"/>
      <c r="G1077" s="197"/>
      <c r="H1077" s="197"/>
      <c r="I1077" s="197"/>
      <c r="J1077" s="197"/>
      <c r="K1077" s="197"/>
      <c r="L1077" s="197"/>
      <c r="M1077" s="197"/>
      <c r="N1077" s="197"/>
      <c r="O1077" s="197"/>
      <c r="P1077" s="197"/>
      <c r="Q1077" s="197"/>
      <c r="R1077" s="197"/>
      <c r="S1077" s="197"/>
    </row>
    <row r="1078" spans="3:19" x14ac:dyDescent="0.25">
      <c r="C1078" s="197"/>
      <c r="D1078" s="197"/>
      <c r="E1078" s="197"/>
      <c r="F1078" s="197"/>
      <c r="G1078" s="197"/>
      <c r="H1078" s="197"/>
      <c r="I1078" s="197"/>
      <c r="J1078" s="197"/>
      <c r="K1078" s="197"/>
      <c r="L1078" s="197"/>
      <c r="M1078" s="197"/>
      <c r="N1078" s="197"/>
      <c r="O1078" s="197"/>
      <c r="P1078" s="197"/>
      <c r="Q1078" s="197"/>
      <c r="R1078" s="197"/>
      <c r="S1078" s="197"/>
    </row>
    <row r="1079" spans="3:19" x14ac:dyDescent="0.25">
      <c r="C1079" s="197"/>
      <c r="D1079" s="197"/>
      <c r="E1079" s="197"/>
      <c r="F1079" s="197"/>
      <c r="G1079" s="197"/>
      <c r="H1079" s="197"/>
      <c r="I1079" s="197"/>
      <c r="J1079" s="197"/>
      <c r="K1079" s="197"/>
      <c r="L1079" s="197"/>
      <c r="M1079" s="197"/>
      <c r="N1079" s="197"/>
      <c r="O1079" s="197"/>
      <c r="P1079" s="197"/>
      <c r="Q1079" s="197"/>
      <c r="R1079" s="197"/>
      <c r="S1079" s="197"/>
    </row>
    <row r="1080" spans="3:19" x14ac:dyDescent="0.25">
      <c r="C1080" s="197"/>
      <c r="D1080" s="197"/>
      <c r="E1080" s="197"/>
      <c r="F1080" s="197"/>
      <c r="G1080" s="197"/>
      <c r="H1080" s="197"/>
      <c r="I1080" s="197"/>
      <c r="J1080" s="197"/>
      <c r="K1080" s="197"/>
      <c r="L1080" s="197"/>
      <c r="M1080" s="197"/>
      <c r="N1080" s="197"/>
      <c r="O1080" s="197"/>
      <c r="P1080" s="197"/>
      <c r="Q1080" s="197"/>
      <c r="R1080" s="197"/>
      <c r="S1080" s="197"/>
    </row>
    <row r="1081" spans="3:19" x14ac:dyDescent="0.25">
      <c r="C1081" s="197"/>
      <c r="D1081" s="197"/>
      <c r="E1081" s="197"/>
      <c r="F1081" s="197"/>
      <c r="G1081" s="197"/>
      <c r="H1081" s="197"/>
      <c r="I1081" s="197"/>
      <c r="J1081" s="197"/>
      <c r="K1081" s="197"/>
      <c r="L1081" s="197"/>
      <c r="M1081" s="197"/>
      <c r="N1081" s="197"/>
      <c r="O1081" s="197"/>
      <c r="P1081" s="197"/>
      <c r="Q1081" s="197"/>
      <c r="R1081" s="197"/>
      <c r="S1081" s="197"/>
    </row>
    <row r="1082" spans="3:19" x14ac:dyDescent="0.25">
      <c r="C1082" s="197"/>
      <c r="D1082" s="197"/>
      <c r="E1082" s="197"/>
      <c r="F1082" s="197"/>
      <c r="G1082" s="197"/>
      <c r="H1082" s="197"/>
      <c r="I1082" s="197"/>
      <c r="J1082" s="197"/>
      <c r="K1082" s="197"/>
      <c r="L1082" s="197"/>
      <c r="M1082" s="197"/>
      <c r="N1082" s="197"/>
      <c r="O1082" s="197"/>
      <c r="P1082" s="197"/>
      <c r="Q1082" s="197"/>
      <c r="R1082" s="197"/>
      <c r="S1082" s="197"/>
    </row>
    <row r="1083" spans="3:19" x14ac:dyDescent="0.25">
      <c r="C1083" s="197"/>
      <c r="D1083" s="197"/>
      <c r="E1083" s="197"/>
      <c r="F1083" s="197"/>
      <c r="G1083" s="197"/>
      <c r="H1083" s="197"/>
      <c r="I1083" s="197"/>
      <c r="J1083" s="197"/>
      <c r="K1083" s="197"/>
      <c r="L1083" s="197"/>
      <c r="M1083" s="197"/>
      <c r="N1083" s="197"/>
      <c r="O1083" s="197"/>
      <c r="P1083" s="197"/>
      <c r="Q1083" s="197"/>
      <c r="R1083" s="197"/>
      <c r="S1083" s="197"/>
    </row>
    <row r="1084" spans="3:19" x14ac:dyDescent="0.25">
      <c r="C1084" s="197"/>
      <c r="D1084" s="197"/>
      <c r="E1084" s="197"/>
      <c r="F1084" s="197"/>
      <c r="G1084" s="197"/>
      <c r="H1084" s="197"/>
      <c r="I1084" s="197"/>
      <c r="J1084" s="197"/>
      <c r="K1084" s="197"/>
      <c r="L1084" s="197"/>
      <c r="M1084" s="197"/>
      <c r="N1084" s="197"/>
      <c r="O1084" s="197"/>
      <c r="P1084" s="197"/>
      <c r="Q1084" s="197"/>
      <c r="R1084" s="197"/>
      <c r="S1084" s="197"/>
    </row>
    <row r="1085" spans="3:19" x14ac:dyDescent="0.25">
      <c r="C1085" s="197"/>
      <c r="D1085" s="197"/>
      <c r="E1085" s="197"/>
      <c r="F1085" s="197"/>
      <c r="G1085" s="197"/>
      <c r="H1085" s="197"/>
      <c r="I1085" s="197"/>
      <c r="J1085" s="197"/>
      <c r="K1085" s="197"/>
      <c r="L1085" s="197"/>
      <c r="M1085" s="197"/>
      <c r="N1085" s="197"/>
      <c r="O1085" s="197"/>
      <c r="P1085" s="197"/>
      <c r="Q1085" s="197"/>
      <c r="R1085" s="197"/>
      <c r="S1085" s="197"/>
    </row>
    <row r="1086" spans="3:19" x14ac:dyDescent="0.25">
      <c r="C1086" s="197"/>
      <c r="D1086" s="197"/>
      <c r="E1086" s="197"/>
      <c r="F1086" s="197"/>
      <c r="G1086" s="197"/>
      <c r="H1086" s="197"/>
      <c r="I1086" s="197"/>
      <c r="J1086" s="197"/>
      <c r="K1086" s="197"/>
      <c r="L1086" s="197"/>
      <c r="M1086" s="197"/>
      <c r="N1086" s="197"/>
      <c r="O1086" s="197"/>
      <c r="P1086" s="197"/>
      <c r="Q1086" s="197"/>
      <c r="R1086" s="197"/>
      <c r="S1086" s="197"/>
    </row>
    <row r="1087" spans="3:19" x14ac:dyDescent="0.25">
      <c r="C1087" s="197"/>
      <c r="D1087" s="197"/>
      <c r="E1087" s="197"/>
      <c r="F1087" s="197"/>
      <c r="G1087" s="197"/>
      <c r="H1087" s="197"/>
      <c r="I1087" s="197"/>
      <c r="J1087" s="197"/>
      <c r="K1087" s="197"/>
      <c r="L1087" s="197"/>
      <c r="M1087" s="197"/>
      <c r="N1087" s="197"/>
      <c r="O1087" s="197"/>
      <c r="P1087" s="197"/>
      <c r="Q1087" s="197"/>
      <c r="R1087" s="197"/>
      <c r="S1087" s="197"/>
    </row>
    <row r="1088" spans="3:19" x14ac:dyDescent="0.25">
      <c r="C1088" s="197"/>
      <c r="D1088" s="197"/>
      <c r="E1088" s="197"/>
      <c r="F1088" s="197"/>
      <c r="G1088" s="197"/>
      <c r="H1088" s="197"/>
      <c r="I1088" s="197"/>
      <c r="J1088" s="197"/>
      <c r="K1088" s="197"/>
      <c r="L1088" s="197"/>
      <c r="M1088" s="197"/>
      <c r="N1088" s="197"/>
      <c r="O1088" s="197"/>
      <c r="P1088" s="197"/>
      <c r="Q1088" s="197"/>
      <c r="R1088" s="197"/>
      <c r="S1088" s="197"/>
    </row>
    <row r="1089" spans="3:19" x14ac:dyDescent="0.25">
      <c r="C1089" s="197"/>
      <c r="D1089" s="197"/>
      <c r="E1089" s="197"/>
      <c r="F1089" s="197"/>
      <c r="G1089" s="197"/>
      <c r="H1089" s="197"/>
      <c r="I1089" s="197"/>
      <c r="J1089" s="197"/>
      <c r="K1089" s="197"/>
      <c r="L1089" s="197"/>
      <c r="M1089" s="197"/>
      <c r="N1089" s="197"/>
      <c r="O1089" s="197"/>
      <c r="P1089" s="197"/>
      <c r="Q1089" s="197"/>
      <c r="R1089" s="197"/>
      <c r="S1089" s="197"/>
    </row>
    <row r="1090" spans="3:19" x14ac:dyDescent="0.25">
      <c r="C1090" s="197"/>
      <c r="D1090" s="197"/>
      <c r="E1090" s="197"/>
      <c r="F1090" s="197"/>
      <c r="G1090" s="197"/>
      <c r="H1090" s="197"/>
      <c r="I1090" s="197"/>
      <c r="J1090" s="197"/>
      <c r="K1090" s="197"/>
      <c r="L1090" s="197"/>
      <c r="M1090" s="197"/>
      <c r="N1090" s="197"/>
      <c r="O1090" s="197"/>
      <c r="P1090" s="197"/>
      <c r="Q1090" s="197"/>
      <c r="R1090" s="197"/>
      <c r="S1090" s="197"/>
    </row>
    <row r="1091" spans="3:19" x14ac:dyDescent="0.25">
      <c r="C1091" s="197"/>
      <c r="D1091" s="197"/>
      <c r="E1091" s="197"/>
      <c r="F1091" s="197"/>
      <c r="G1091" s="197"/>
      <c r="H1091" s="197"/>
      <c r="I1091" s="197"/>
      <c r="J1091" s="197"/>
      <c r="K1091" s="197"/>
      <c r="L1091" s="197"/>
      <c r="M1091" s="197"/>
      <c r="N1091" s="197"/>
      <c r="O1091" s="197"/>
      <c r="P1091" s="197"/>
      <c r="Q1091" s="197"/>
      <c r="R1091" s="197"/>
      <c r="S1091" s="197"/>
    </row>
    <row r="1092" spans="3:19" x14ac:dyDescent="0.25">
      <c r="C1092" s="197"/>
      <c r="D1092" s="197"/>
      <c r="E1092" s="197"/>
      <c r="F1092" s="197"/>
      <c r="G1092" s="197"/>
      <c r="H1092" s="197"/>
      <c r="I1092" s="197"/>
      <c r="J1092" s="197"/>
      <c r="K1092" s="197"/>
      <c r="L1092" s="197"/>
      <c r="M1092" s="197"/>
      <c r="N1092" s="197"/>
      <c r="O1092" s="197"/>
      <c r="P1092" s="197"/>
      <c r="Q1092" s="197"/>
      <c r="R1092" s="197"/>
      <c r="S1092" s="197"/>
    </row>
    <row r="1093" spans="3:19" x14ac:dyDescent="0.25">
      <c r="C1093" s="197"/>
      <c r="D1093" s="197"/>
      <c r="E1093" s="197"/>
      <c r="F1093" s="197"/>
      <c r="G1093" s="197"/>
      <c r="H1093" s="197"/>
      <c r="I1093" s="197"/>
      <c r="J1093" s="197"/>
      <c r="K1093" s="197"/>
      <c r="L1093" s="197"/>
      <c r="M1093" s="197"/>
      <c r="N1093" s="197"/>
      <c r="O1093" s="197"/>
      <c r="P1093" s="197"/>
      <c r="Q1093" s="197"/>
      <c r="R1093" s="197"/>
      <c r="S1093" s="197"/>
    </row>
    <row r="1094" spans="3:19" x14ac:dyDescent="0.25">
      <c r="C1094" s="197"/>
      <c r="D1094" s="197"/>
      <c r="E1094" s="197"/>
      <c r="F1094" s="197"/>
      <c r="G1094" s="197"/>
      <c r="H1094" s="197"/>
      <c r="I1094" s="197"/>
      <c r="J1094" s="197"/>
      <c r="K1094" s="197"/>
      <c r="L1094" s="197"/>
      <c r="M1094" s="197"/>
      <c r="N1094" s="197"/>
      <c r="O1094" s="197"/>
      <c r="P1094" s="197"/>
      <c r="Q1094" s="197"/>
      <c r="R1094" s="197"/>
      <c r="S1094" s="197"/>
    </row>
    <row r="1095" spans="3:19" x14ac:dyDescent="0.25">
      <c r="C1095" s="197"/>
      <c r="D1095" s="197"/>
      <c r="E1095" s="197"/>
      <c r="F1095" s="197"/>
      <c r="G1095" s="197"/>
      <c r="H1095" s="197"/>
      <c r="I1095" s="197"/>
      <c r="J1095" s="197"/>
      <c r="K1095" s="197"/>
      <c r="L1095" s="197"/>
      <c r="M1095" s="197"/>
      <c r="N1095" s="197"/>
      <c r="O1095" s="197"/>
      <c r="P1095" s="197"/>
      <c r="Q1095" s="197"/>
      <c r="R1095" s="197"/>
      <c r="S1095" s="197"/>
    </row>
    <row r="1096" spans="3:19" x14ac:dyDescent="0.25">
      <c r="C1096" s="197"/>
      <c r="D1096" s="197"/>
      <c r="E1096" s="197"/>
      <c r="F1096" s="197"/>
      <c r="G1096" s="197"/>
      <c r="H1096" s="197"/>
      <c r="I1096" s="197"/>
      <c r="J1096" s="197"/>
      <c r="K1096" s="197"/>
      <c r="L1096" s="197"/>
      <c r="M1096" s="197"/>
      <c r="N1096" s="197"/>
      <c r="O1096" s="197"/>
      <c r="P1096" s="197"/>
      <c r="Q1096" s="197"/>
      <c r="R1096" s="197"/>
      <c r="S1096" s="197"/>
    </row>
    <row r="1097" spans="3:19" x14ac:dyDescent="0.25">
      <c r="C1097" s="197"/>
      <c r="D1097" s="197"/>
      <c r="E1097" s="197"/>
      <c r="F1097" s="197"/>
      <c r="G1097" s="197"/>
      <c r="H1097" s="197"/>
      <c r="I1097" s="197"/>
      <c r="J1097" s="197"/>
      <c r="K1097" s="197"/>
      <c r="L1097" s="197"/>
      <c r="M1097" s="197"/>
      <c r="N1097" s="197"/>
      <c r="O1097" s="197"/>
      <c r="P1097" s="197"/>
      <c r="Q1097" s="197"/>
      <c r="R1097" s="197"/>
      <c r="S1097" s="197"/>
    </row>
    <row r="1098" spans="3:19" x14ac:dyDescent="0.25">
      <c r="C1098" s="197"/>
      <c r="D1098" s="197"/>
      <c r="E1098" s="197"/>
      <c r="F1098" s="197"/>
      <c r="G1098" s="197"/>
      <c r="H1098" s="197"/>
      <c r="I1098" s="197"/>
      <c r="J1098" s="197"/>
      <c r="K1098" s="197"/>
      <c r="L1098" s="197"/>
      <c r="M1098" s="197"/>
      <c r="N1098" s="197"/>
      <c r="O1098" s="197"/>
      <c r="P1098" s="197"/>
      <c r="Q1098" s="197"/>
      <c r="R1098" s="197"/>
      <c r="S1098" s="197"/>
    </row>
    <row r="1099" spans="3:19" x14ac:dyDescent="0.25">
      <c r="C1099" s="197"/>
      <c r="D1099" s="197"/>
      <c r="E1099" s="197"/>
      <c r="F1099" s="197"/>
      <c r="G1099" s="197"/>
      <c r="H1099" s="197"/>
      <c r="I1099" s="197"/>
      <c r="J1099" s="197"/>
      <c r="K1099" s="197"/>
      <c r="L1099" s="197"/>
      <c r="M1099" s="197"/>
      <c r="N1099" s="197"/>
      <c r="O1099" s="197"/>
      <c r="P1099" s="197"/>
      <c r="Q1099" s="197"/>
      <c r="R1099" s="197"/>
      <c r="S1099" s="197"/>
    </row>
    <row r="1100" spans="3:19" x14ac:dyDescent="0.25">
      <c r="C1100" s="197"/>
      <c r="D1100" s="197"/>
      <c r="E1100" s="197"/>
      <c r="F1100" s="197"/>
      <c r="G1100" s="197"/>
      <c r="H1100" s="197"/>
      <c r="I1100" s="197"/>
      <c r="J1100" s="197"/>
      <c r="K1100" s="197"/>
      <c r="L1100" s="197"/>
      <c r="M1100" s="197"/>
      <c r="N1100" s="197"/>
      <c r="O1100" s="197"/>
      <c r="P1100" s="197"/>
      <c r="Q1100" s="197"/>
      <c r="R1100" s="197"/>
      <c r="S1100" s="197"/>
    </row>
    <row r="1101" spans="3:19" x14ac:dyDescent="0.25">
      <c r="C1101" s="197"/>
      <c r="D1101" s="197"/>
      <c r="E1101" s="197"/>
      <c r="F1101" s="197"/>
      <c r="G1101" s="197"/>
      <c r="H1101" s="197"/>
      <c r="I1101" s="197"/>
      <c r="J1101" s="197"/>
      <c r="K1101" s="197"/>
      <c r="L1101" s="197"/>
      <c r="M1101" s="197"/>
      <c r="N1101" s="197"/>
      <c r="O1101" s="197"/>
      <c r="P1101" s="197"/>
      <c r="Q1101" s="197"/>
      <c r="R1101" s="197"/>
      <c r="S1101" s="197"/>
    </row>
    <row r="1102" spans="3:19" x14ac:dyDescent="0.25">
      <c r="C1102" s="197"/>
      <c r="D1102" s="197"/>
      <c r="E1102" s="197"/>
      <c r="F1102" s="197"/>
      <c r="G1102" s="197"/>
      <c r="H1102" s="197"/>
      <c r="I1102" s="197"/>
      <c r="J1102" s="197"/>
      <c r="K1102" s="197"/>
      <c r="L1102" s="197"/>
      <c r="M1102" s="197"/>
      <c r="N1102" s="197"/>
      <c r="O1102" s="197"/>
      <c r="P1102" s="197"/>
      <c r="Q1102" s="197"/>
      <c r="R1102" s="197"/>
      <c r="S1102" s="197"/>
    </row>
    <row r="1103" spans="3:19" x14ac:dyDescent="0.25">
      <c r="C1103" s="197"/>
      <c r="D1103" s="197"/>
      <c r="E1103" s="197"/>
      <c r="F1103" s="197"/>
      <c r="G1103" s="197"/>
      <c r="H1103" s="197"/>
      <c r="I1103" s="197"/>
      <c r="J1103" s="197"/>
      <c r="K1103" s="197"/>
      <c r="L1103" s="197"/>
      <c r="M1103" s="197"/>
      <c r="N1103" s="197"/>
      <c r="O1103" s="197"/>
      <c r="P1103" s="197"/>
      <c r="Q1103" s="197"/>
      <c r="R1103" s="197"/>
      <c r="S1103" s="197"/>
    </row>
    <row r="1104" spans="3:19" x14ac:dyDescent="0.25">
      <c r="C1104" s="197"/>
      <c r="D1104" s="197"/>
      <c r="E1104" s="197"/>
      <c r="F1104" s="197"/>
      <c r="G1104" s="197"/>
      <c r="H1104" s="197"/>
      <c r="I1104" s="197"/>
      <c r="J1104" s="197"/>
      <c r="K1104" s="197"/>
      <c r="L1104" s="197"/>
      <c r="M1104" s="197"/>
      <c r="N1104" s="197"/>
      <c r="O1104" s="197"/>
      <c r="P1104" s="197"/>
      <c r="Q1104" s="197"/>
      <c r="R1104" s="197"/>
      <c r="S1104" s="197"/>
    </row>
    <row r="1105" spans="3:19" x14ac:dyDescent="0.25">
      <c r="C1105" s="197"/>
      <c r="D1105" s="197"/>
      <c r="E1105" s="197"/>
      <c r="F1105" s="197"/>
      <c r="G1105" s="197"/>
      <c r="H1105" s="197"/>
      <c r="I1105" s="197"/>
      <c r="J1105" s="197"/>
      <c r="K1105" s="197"/>
      <c r="L1105" s="197"/>
      <c r="M1105" s="197"/>
      <c r="N1105" s="197"/>
      <c r="O1105" s="197"/>
      <c r="P1105" s="197"/>
      <c r="Q1105" s="197"/>
      <c r="R1105" s="197"/>
      <c r="S1105" s="197"/>
    </row>
    <row r="1106" spans="3:19" x14ac:dyDescent="0.25">
      <c r="C1106" s="197"/>
      <c r="D1106" s="197"/>
      <c r="E1106" s="197"/>
      <c r="F1106" s="197"/>
      <c r="G1106" s="197"/>
      <c r="H1106" s="197"/>
      <c r="I1106" s="197"/>
      <c r="J1106" s="197"/>
      <c r="K1106" s="197"/>
      <c r="L1106" s="197"/>
      <c r="M1106" s="197"/>
      <c r="N1106" s="197"/>
      <c r="O1106" s="197"/>
      <c r="P1106" s="197"/>
      <c r="Q1106" s="197"/>
      <c r="R1106" s="197"/>
      <c r="S1106" s="197"/>
    </row>
    <row r="1107" spans="3:19" x14ac:dyDescent="0.25">
      <c r="C1107" s="197"/>
      <c r="D1107" s="197"/>
      <c r="E1107" s="197"/>
      <c r="F1107" s="197"/>
      <c r="G1107" s="197"/>
      <c r="H1107" s="197"/>
      <c r="I1107" s="197"/>
      <c r="J1107" s="197"/>
      <c r="K1107" s="197"/>
      <c r="L1107" s="197"/>
      <c r="M1107" s="197"/>
      <c r="N1107" s="197"/>
      <c r="O1107" s="197"/>
      <c r="P1107" s="197"/>
      <c r="Q1107" s="197"/>
      <c r="R1107" s="197"/>
      <c r="S1107" s="197"/>
    </row>
    <row r="1108" spans="3:19" x14ac:dyDescent="0.25">
      <c r="C1108" s="197"/>
      <c r="D1108" s="197"/>
      <c r="E1108" s="197"/>
      <c r="F1108" s="197"/>
      <c r="G1108" s="197"/>
      <c r="H1108" s="197"/>
      <c r="I1108" s="197"/>
      <c r="J1108" s="197"/>
      <c r="K1108" s="197"/>
      <c r="L1108" s="197"/>
      <c r="M1108" s="197"/>
      <c r="N1108" s="197"/>
      <c r="O1108" s="197"/>
      <c r="P1108" s="197"/>
      <c r="Q1108" s="197"/>
      <c r="R1108" s="197"/>
      <c r="S1108" s="197"/>
    </row>
    <row r="1109" spans="3:19" x14ac:dyDescent="0.25">
      <c r="C1109" s="197"/>
      <c r="D1109" s="197"/>
      <c r="E1109" s="197"/>
      <c r="F1109" s="197"/>
      <c r="G1109" s="197"/>
      <c r="H1109" s="197"/>
      <c r="I1109" s="197"/>
      <c r="J1109" s="197"/>
      <c r="K1109" s="197"/>
      <c r="L1109" s="197"/>
      <c r="M1109" s="197"/>
      <c r="N1109" s="197"/>
      <c r="O1109" s="197"/>
      <c r="P1109" s="197"/>
      <c r="Q1109" s="197"/>
      <c r="R1109" s="197"/>
      <c r="S1109" s="197"/>
    </row>
    <row r="1110" spans="3:19" x14ac:dyDescent="0.25">
      <c r="C1110" s="197"/>
      <c r="D1110" s="197"/>
      <c r="E1110" s="197"/>
      <c r="F1110" s="197"/>
      <c r="G1110" s="197"/>
      <c r="H1110" s="197"/>
      <c r="I1110" s="197"/>
      <c r="J1110" s="197"/>
      <c r="K1110" s="197"/>
      <c r="L1110" s="197"/>
      <c r="M1110" s="197"/>
      <c r="N1110" s="197"/>
      <c r="O1110" s="197"/>
      <c r="P1110" s="197"/>
      <c r="Q1110" s="197"/>
      <c r="R1110" s="197"/>
      <c r="S1110" s="197"/>
    </row>
    <row r="1111" spans="3:19" x14ac:dyDescent="0.25">
      <c r="C1111" s="197"/>
      <c r="D1111" s="197"/>
      <c r="E1111" s="197"/>
      <c r="F1111" s="197"/>
      <c r="G1111" s="197"/>
      <c r="H1111" s="197"/>
      <c r="I1111" s="197"/>
      <c r="J1111" s="197"/>
      <c r="K1111" s="197"/>
      <c r="L1111" s="197"/>
      <c r="M1111" s="197"/>
      <c r="N1111" s="197"/>
      <c r="O1111" s="197"/>
      <c r="P1111" s="197"/>
      <c r="Q1111" s="197"/>
      <c r="R1111" s="197"/>
      <c r="S1111" s="197"/>
    </row>
    <row r="1112" spans="3:19" x14ac:dyDescent="0.25">
      <c r="C1112" s="197"/>
      <c r="D1112" s="197"/>
      <c r="E1112" s="197"/>
      <c r="F1112" s="197"/>
      <c r="G1112" s="197"/>
      <c r="H1112" s="197"/>
      <c r="I1112" s="197"/>
      <c r="J1112" s="197"/>
      <c r="K1112" s="197"/>
      <c r="L1112" s="197"/>
      <c r="M1112" s="197"/>
      <c r="N1112" s="197"/>
      <c r="O1112" s="197"/>
      <c r="P1112" s="197"/>
      <c r="Q1112" s="197"/>
      <c r="R1112" s="197"/>
      <c r="S1112" s="197"/>
    </row>
    <row r="1113" spans="3:19" x14ac:dyDescent="0.25">
      <c r="C1113" s="197"/>
      <c r="D1113" s="197"/>
      <c r="E1113" s="197"/>
      <c r="F1113" s="197"/>
      <c r="G1113" s="197"/>
      <c r="H1113" s="197"/>
      <c r="I1113" s="197"/>
      <c r="J1113" s="197"/>
      <c r="K1113" s="197"/>
      <c r="L1113" s="197"/>
      <c r="M1113" s="197"/>
      <c r="N1113" s="197"/>
      <c r="O1113" s="197"/>
      <c r="P1113" s="197"/>
      <c r="Q1113" s="197"/>
      <c r="R1113" s="197"/>
      <c r="S1113" s="197"/>
    </row>
    <row r="1114" spans="3:19" x14ac:dyDescent="0.25">
      <c r="C1114" s="197"/>
      <c r="D1114" s="197"/>
      <c r="E1114" s="197"/>
      <c r="F1114" s="197"/>
      <c r="G1114" s="197"/>
      <c r="H1114" s="197"/>
      <c r="I1114" s="197"/>
      <c r="J1114" s="197"/>
      <c r="K1114" s="197"/>
      <c r="L1114" s="197"/>
      <c r="M1114" s="197"/>
      <c r="N1114" s="197"/>
      <c r="O1114" s="197"/>
      <c r="P1114" s="197"/>
      <c r="Q1114" s="197"/>
      <c r="R1114" s="197"/>
      <c r="S1114" s="197"/>
    </row>
    <row r="1115" spans="3:19" x14ac:dyDescent="0.25">
      <c r="C1115" s="197"/>
      <c r="D1115" s="197"/>
      <c r="E1115" s="197"/>
      <c r="F1115" s="197"/>
      <c r="G1115" s="197"/>
      <c r="H1115" s="197"/>
      <c r="I1115" s="197"/>
      <c r="J1115" s="197"/>
      <c r="K1115" s="197"/>
      <c r="L1115" s="197"/>
      <c r="M1115" s="197"/>
      <c r="N1115" s="197"/>
      <c r="O1115" s="197"/>
      <c r="P1115" s="197"/>
      <c r="Q1115" s="197"/>
      <c r="R1115" s="197"/>
      <c r="S1115" s="197"/>
    </row>
    <row r="1116" spans="3:19" x14ac:dyDescent="0.25">
      <c r="C1116" s="197"/>
      <c r="D1116" s="197"/>
      <c r="E1116" s="197"/>
      <c r="F1116" s="197"/>
      <c r="G1116" s="197"/>
      <c r="H1116" s="197"/>
      <c r="I1116" s="197"/>
      <c r="J1116" s="197"/>
      <c r="K1116" s="197"/>
      <c r="L1116" s="197"/>
      <c r="M1116" s="197"/>
      <c r="N1116" s="197"/>
      <c r="O1116" s="197"/>
      <c r="P1116" s="197"/>
      <c r="Q1116" s="197"/>
      <c r="R1116" s="197"/>
      <c r="S1116" s="197"/>
    </row>
    <row r="1117" spans="3:19" x14ac:dyDescent="0.25">
      <c r="C1117" s="197"/>
      <c r="D1117" s="197"/>
      <c r="E1117" s="197"/>
      <c r="F1117" s="197"/>
      <c r="G1117" s="197"/>
      <c r="H1117" s="197"/>
      <c r="I1117" s="197"/>
      <c r="J1117" s="197"/>
      <c r="K1117" s="197"/>
      <c r="L1117" s="197"/>
      <c r="M1117" s="197"/>
      <c r="N1117" s="197"/>
      <c r="O1117" s="197"/>
      <c r="P1117" s="197"/>
      <c r="Q1117" s="197"/>
      <c r="R1117" s="197"/>
      <c r="S1117" s="197"/>
    </row>
    <row r="1118" spans="3:19" x14ac:dyDescent="0.25">
      <c r="C1118" s="197"/>
      <c r="D1118" s="197"/>
      <c r="E1118" s="197"/>
      <c r="F1118" s="197"/>
      <c r="G1118" s="197"/>
      <c r="H1118" s="197"/>
      <c r="I1118" s="197"/>
      <c r="J1118" s="197"/>
      <c r="K1118" s="197"/>
      <c r="L1118" s="197"/>
      <c r="M1118" s="197"/>
      <c r="N1118" s="197"/>
      <c r="O1118" s="197"/>
      <c r="P1118" s="197"/>
      <c r="Q1118" s="197"/>
      <c r="R1118" s="197"/>
      <c r="S1118" s="197"/>
    </row>
    <row r="1119" spans="3:19" x14ac:dyDescent="0.25">
      <c r="C1119" s="197"/>
      <c r="D1119" s="197"/>
      <c r="E1119" s="197"/>
      <c r="F1119" s="197"/>
      <c r="G1119" s="197"/>
      <c r="H1119" s="197"/>
      <c r="I1119" s="197"/>
      <c r="J1119" s="197"/>
      <c r="K1119" s="197"/>
      <c r="L1119" s="197"/>
      <c r="M1119" s="197"/>
      <c r="N1119" s="197"/>
      <c r="O1119" s="197"/>
      <c r="P1119" s="197"/>
      <c r="Q1119" s="197"/>
      <c r="R1119" s="197"/>
      <c r="S1119" s="197"/>
    </row>
    <row r="1120" spans="3:19" x14ac:dyDescent="0.25">
      <c r="C1120" s="197"/>
      <c r="D1120" s="197"/>
      <c r="E1120" s="197"/>
      <c r="F1120" s="197"/>
      <c r="G1120" s="197"/>
      <c r="H1120" s="197"/>
      <c r="I1120" s="197"/>
      <c r="J1120" s="197"/>
      <c r="K1120" s="197"/>
      <c r="L1120" s="197"/>
      <c r="M1120" s="197"/>
      <c r="N1120" s="197"/>
      <c r="O1120" s="197"/>
      <c r="P1120" s="197"/>
      <c r="Q1120" s="197"/>
      <c r="R1120" s="197"/>
      <c r="S1120" s="197"/>
    </row>
  </sheetData>
  <conditionalFormatting sqref="B11:S1010">
    <cfRule type="expression" dxfId="1" priority="1">
      <formula>IF($B11 &lt;&gt; $B12, TRUE, FALSE)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0" tint="-0.499984740745262"/>
  </sheetPr>
  <dimension ref="A1:B62"/>
  <sheetViews>
    <sheetView workbookViewId="0"/>
  </sheetViews>
  <sheetFormatPr defaultColWidth="8.85546875" defaultRowHeight="15" x14ac:dyDescent="0.25"/>
  <cols>
    <col min="1" max="1" width="67.42578125" bestFit="1" customWidth="1"/>
    <col min="2" max="2" width="115" customWidth="1"/>
    <col min="3" max="16384" width="8.85546875" style="99"/>
  </cols>
  <sheetData>
    <row r="1" spans="1:2" ht="14.25" x14ac:dyDescent="0.3">
      <c r="A1" s="100" t="s">
        <v>157</v>
      </c>
      <c r="B1" s="101"/>
    </row>
    <row r="2" spans="1:2" ht="14.25" x14ac:dyDescent="0.3">
      <c r="A2" s="102" t="s">
        <v>0</v>
      </c>
      <c r="B2" s="103" t="s">
        <v>67</v>
      </c>
    </row>
    <row r="3" spans="1:2" ht="28.35" x14ac:dyDescent="0.3">
      <c r="A3" s="104" t="s">
        <v>27</v>
      </c>
      <c r="B3" s="105" t="s">
        <v>69</v>
      </c>
    </row>
    <row r="4" spans="1:2" ht="14.25" x14ac:dyDescent="0.3">
      <c r="A4" s="104" t="s">
        <v>32</v>
      </c>
      <c r="B4" s="105" t="s">
        <v>70</v>
      </c>
    </row>
    <row r="5" spans="1:2" ht="14.25" x14ac:dyDescent="0.3">
      <c r="A5" s="104" t="s">
        <v>31</v>
      </c>
      <c r="B5" s="105" t="s">
        <v>71</v>
      </c>
    </row>
    <row r="6" spans="1:2" ht="14.25" x14ac:dyDescent="0.3">
      <c r="A6" s="104" t="s">
        <v>26</v>
      </c>
      <c r="B6" s="105" t="s">
        <v>72</v>
      </c>
    </row>
    <row r="7" spans="1:2" ht="14.25" x14ac:dyDescent="0.3">
      <c r="A7" s="104" t="s">
        <v>73</v>
      </c>
      <c r="B7" s="105" t="s">
        <v>72</v>
      </c>
    </row>
    <row r="8" spans="1:2" ht="14.25" x14ac:dyDescent="0.3">
      <c r="A8" s="104" t="s">
        <v>74</v>
      </c>
      <c r="B8" s="105" t="s">
        <v>72</v>
      </c>
    </row>
    <row r="9" spans="1:2" ht="14.25" x14ac:dyDescent="0.3">
      <c r="A9" s="104" t="s">
        <v>35</v>
      </c>
      <c r="B9" s="105" t="s">
        <v>75</v>
      </c>
    </row>
    <row r="10" spans="1:2" ht="14.25" x14ac:dyDescent="0.3">
      <c r="A10" s="104" t="s">
        <v>10</v>
      </c>
      <c r="B10" s="105" t="s">
        <v>68</v>
      </c>
    </row>
    <row r="11" spans="1:2" ht="14.25" x14ac:dyDescent="0.3">
      <c r="A11" s="104" t="s">
        <v>11</v>
      </c>
      <c r="B11" s="105" t="s">
        <v>76</v>
      </c>
    </row>
    <row r="12" spans="1:2" ht="14.25" x14ac:dyDescent="0.3">
      <c r="A12" s="104" t="s">
        <v>24</v>
      </c>
      <c r="B12" s="105" t="s">
        <v>77</v>
      </c>
    </row>
    <row r="13" spans="1:2" ht="14.25" x14ac:dyDescent="0.3">
      <c r="A13" s="104" t="s">
        <v>29</v>
      </c>
      <c r="B13" s="105" t="s">
        <v>78</v>
      </c>
    </row>
    <row r="14" spans="1:2" ht="30" x14ac:dyDescent="0.25">
      <c r="A14" s="104" t="s">
        <v>28</v>
      </c>
      <c r="B14" s="105" t="s">
        <v>79</v>
      </c>
    </row>
    <row r="15" spans="1:2" x14ac:dyDescent="0.25">
      <c r="A15" s="104" t="s">
        <v>80</v>
      </c>
      <c r="B15" s="105" t="s">
        <v>81</v>
      </c>
    </row>
    <row r="16" spans="1:2" x14ac:dyDescent="0.25">
      <c r="A16" s="104" t="s">
        <v>5</v>
      </c>
      <c r="B16" s="105" t="s">
        <v>68</v>
      </c>
    </row>
    <row r="17" spans="1:2" x14ac:dyDescent="0.25">
      <c r="A17" s="104" t="s">
        <v>6</v>
      </c>
      <c r="B17" s="105" t="s">
        <v>68</v>
      </c>
    </row>
    <row r="18" spans="1:2" x14ac:dyDescent="0.25">
      <c r="A18" s="104" t="s">
        <v>22</v>
      </c>
      <c r="B18" s="105" t="s">
        <v>82</v>
      </c>
    </row>
    <row r="19" spans="1:2" ht="30" x14ac:dyDescent="0.25">
      <c r="A19" s="104" t="s">
        <v>15</v>
      </c>
      <c r="B19" s="105" t="s">
        <v>83</v>
      </c>
    </row>
    <row r="20" spans="1:2" x14ac:dyDescent="0.25">
      <c r="A20" s="104" t="s">
        <v>84</v>
      </c>
      <c r="B20" s="105" t="s">
        <v>85</v>
      </c>
    </row>
    <row r="21" spans="1:2" x14ac:dyDescent="0.25">
      <c r="A21" s="104" t="s">
        <v>23</v>
      </c>
      <c r="B21" s="105" t="s">
        <v>86</v>
      </c>
    </row>
    <row r="22" spans="1:2" x14ac:dyDescent="0.25">
      <c r="A22" s="104" t="s">
        <v>30</v>
      </c>
      <c r="B22" s="105" t="s">
        <v>87</v>
      </c>
    </row>
    <row r="23" spans="1:2" ht="45" x14ac:dyDescent="0.25">
      <c r="A23" s="104" t="s">
        <v>34</v>
      </c>
      <c r="B23" s="105" t="s">
        <v>88</v>
      </c>
    </row>
    <row r="24" spans="1:2" ht="45" x14ac:dyDescent="0.25">
      <c r="A24" s="104" t="s">
        <v>89</v>
      </c>
      <c r="B24" s="105" t="s">
        <v>90</v>
      </c>
    </row>
    <row r="25" spans="1:2" x14ac:dyDescent="0.25">
      <c r="A25" s="104" t="s">
        <v>12</v>
      </c>
      <c r="B25" s="105" t="s">
        <v>82</v>
      </c>
    </row>
    <row r="26" spans="1:2" ht="30" x14ac:dyDescent="0.25">
      <c r="A26" s="104" t="s">
        <v>13</v>
      </c>
      <c r="B26" s="105" t="s">
        <v>91</v>
      </c>
    </row>
    <row r="27" spans="1:2" ht="30" x14ac:dyDescent="0.25">
      <c r="A27" s="104" t="s">
        <v>14</v>
      </c>
      <c r="B27" s="105" t="s">
        <v>92</v>
      </c>
    </row>
    <row r="28" spans="1:2" x14ac:dyDescent="0.25">
      <c r="A28" s="104" t="s">
        <v>16</v>
      </c>
      <c r="B28" s="105" t="s">
        <v>93</v>
      </c>
    </row>
    <row r="29" spans="1:2" x14ac:dyDescent="0.25">
      <c r="A29" s="104" t="s">
        <v>17</v>
      </c>
      <c r="B29" s="105" t="s">
        <v>94</v>
      </c>
    </row>
    <row r="30" spans="1:2" x14ac:dyDescent="0.25">
      <c r="A30" s="104" t="s">
        <v>25</v>
      </c>
      <c r="B30" s="105" t="s">
        <v>95</v>
      </c>
    </row>
    <row r="31" spans="1:2" x14ac:dyDescent="0.25">
      <c r="A31" s="104" t="s">
        <v>20</v>
      </c>
      <c r="B31" s="105" t="s">
        <v>96</v>
      </c>
    </row>
    <row r="32" spans="1:2" ht="30" x14ac:dyDescent="0.25">
      <c r="A32" s="104" t="s">
        <v>33</v>
      </c>
      <c r="B32" s="105" t="s">
        <v>97</v>
      </c>
    </row>
    <row r="33" spans="1:2" x14ac:dyDescent="0.25">
      <c r="A33" s="104" t="s">
        <v>21</v>
      </c>
      <c r="B33" s="105" t="s">
        <v>82</v>
      </c>
    </row>
    <row r="34" spans="1:2" x14ac:dyDescent="0.25">
      <c r="A34" s="104" t="s">
        <v>19</v>
      </c>
      <c r="B34" s="105" t="s">
        <v>82</v>
      </c>
    </row>
    <row r="35" spans="1:2" x14ac:dyDescent="0.25">
      <c r="A35" s="115" t="s">
        <v>98</v>
      </c>
      <c r="B35" s="105" t="s">
        <v>75</v>
      </c>
    </row>
    <row r="36" spans="1:2" x14ac:dyDescent="0.25">
      <c r="A36" s="104" t="s">
        <v>7</v>
      </c>
      <c r="B36" s="105" t="s">
        <v>68</v>
      </c>
    </row>
    <row r="37" spans="1:2" x14ac:dyDescent="0.25">
      <c r="A37" s="104" t="s">
        <v>8</v>
      </c>
      <c r="B37" s="105" t="s">
        <v>76</v>
      </c>
    </row>
    <row r="38" spans="1:2" x14ac:dyDescent="0.25">
      <c r="A38" s="104" t="s">
        <v>9</v>
      </c>
      <c r="B38" s="105" t="s">
        <v>68</v>
      </c>
    </row>
    <row r="39" spans="1:2" x14ac:dyDescent="0.25">
      <c r="A39" s="104" t="s">
        <v>18</v>
      </c>
      <c r="B39" s="105" t="s">
        <v>68</v>
      </c>
    </row>
    <row r="55" spans="1:2" s="106" customFormat="1" x14ac:dyDescent="0.25">
      <c r="A55"/>
      <c r="B55"/>
    </row>
    <row r="56" spans="1:2" s="106" customFormat="1" x14ac:dyDescent="0.25">
      <c r="A56"/>
      <c r="B56"/>
    </row>
    <row r="57" spans="1:2" s="106" customFormat="1" x14ac:dyDescent="0.25">
      <c r="A57"/>
      <c r="B57"/>
    </row>
    <row r="58" spans="1:2" s="106" customFormat="1" x14ac:dyDescent="0.25">
      <c r="A58"/>
      <c r="B58"/>
    </row>
    <row r="59" spans="1:2" s="106" customFormat="1" x14ac:dyDescent="0.25">
      <c r="A59"/>
      <c r="B59"/>
    </row>
    <row r="60" spans="1:2" s="106" customFormat="1" x14ac:dyDescent="0.25">
      <c r="A60"/>
      <c r="B60"/>
    </row>
    <row r="61" spans="1:2" s="106" customFormat="1" x14ac:dyDescent="0.25">
      <c r="A61"/>
      <c r="B61"/>
    </row>
    <row r="62" spans="1:2" s="106" customFormat="1" x14ac:dyDescent="0.25">
      <c r="A62"/>
      <c r="B6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0" tint="-0.499984740745262"/>
  </sheetPr>
  <dimension ref="A1:C57"/>
  <sheetViews>
    <sheetView workbookViewId="0"/>
  </sheetViews>
  <sheetFormatPr defaultColWidth="9.140625" defaultRowHeight="12.75" x14ac:dyDescent="0.2"/>
  <cols>
    <col min="1" max="1" width="41.28515625" style="111" bestFit="1" customWidth="1"/>
    <col min="2" max="2" width="11.5703125" style="111" customWidth="1"/>
    <col min="3" max="16384" width="9.140625" style="111"/>
  </cols>
  <sheetData>
    <row r="1" spans="1:3" ht="15" x14ac:dyDescent="0.25">
      <c r="A1" s="109" t="s">
        <v>55</v>
      </c>
      <c r="B1" s="110" t="s">
        <v>1</v>
      </c>
    </row>
    <row r="2" spans="1:3" ht="15" x14ac:dyDescent="0.25">
      <c r="A2" s="107" t="s">
        <v>99</v>
      </c>
      <c r="B2" s="108" t="s">
        <v>100</v>
      </c>
    </row>
    <row r="3" spans="1:3" ht="15" x14ac:dyDescent="0.25">
      <c r="A3" s="107" t="s">
        <v>101</v>
      </c>
      <c r="B3" s="108" t="s">
        <v>102</v>
      </c>
    </row>
    <row r="4" spans="1:3" ht="15" x14ac:dyDescent="0.25">
      <c r="A4" s="107" t="s">
        <v>2</v>
      </c>
      <c r="B4" s="108" t="s">
        <v>103</v>
      </c>
    </row>
    <row r="5" spans="1:3" ht="15" x14ac:dyDescent="0.25">
      <c r="A5" s="107" t="s">
        <v>104</v>
      </c>
      <c r="B5" s="108" t="s">
        <v>105</v>
      </c>
    </row>
    <row r="6" spans="1:3" ht="15" x14ac:dyDescent="0.25">
      <c r="A6" s="107" t="s">
        <v>106</v>
      </c>
      <c r="B6" s="108" t="s">
        <v>103</v>
      </c>
    </row>
    <row r="7" spans="1:3" ht="15" x14ac:dyDescent="0.25">
      <c r="A7" s="107" t="s">
        <v>107</v>
      </c>
      <c r="B7" s="108" t="s">
        <v>108</v>
      </c>
    </row>
    <row r="8" spans="1:3" ht="15" x14ac:dyDescent="0.25">
      <c r="A8" s="107" t="s">
        <v>109</v>
      </c>
      <c r="B8" s="108" t="s">
        <v>110</v>
      </c>
    </row>
    <row r="12" spans="1:3" s="113" customFormat="1" x14ac:dyDescent="0.2">
      <c r="A12" s="112" t="s">
        <v>111</v>
      </c>
      <c r="C12" s="114"/>
    </row>
    <row r="13" spans="1:3" s="113" customFormat="1" x14ac:dyDescent="0.2">
      <c r="A13" s="113" t="s">
        <v>112</v>
      </c>
      <c r="C13" s="114"/>
    </row>
    <row r="14" spans="1:3" s="113" customFormat="1" x14ac:dyDescent="0.2">
      <c r="A14" s="113" t="s">
        <v>113</v>
      </c>
      <c r="C14" s="114"/>
    </row>
    <row r="15" spans="1:3" s="113" customFormat="1" x14ac:dyDescent="0.2">
      <c r="A15" s="113" t="s">
        <v>114</v>
      </c>
      <c r="C15" s="114"/>
    </row>
    <row r="16" spans="1:3" s="113" customFormat="1" x14ac:dyDescent="0.2">
      <c r="A16" s="113" t="s">
        <v>115</v>
      </c>
      <c r="C16" s="114"/>
    </row>
    <row r="17" spans="1:3" s="113" customFormat="1" x14ac:dyDescent="0.2">
      <c r="A17" s="113" t="s">
        <v>116</v>
      </c>
      <c r="C17" s="114"/>
    </row>
    <row r="18" spans="1:3" s="113" customFormat="1" x14ac:dyDescent="0.2">
      <c r="A18" s="113" t="s">
        <v>117</v>
      </c>
      <c r="C18" s="114"/>
    </row>
    <row r="19" spans="1:3" s="113" customFormat="1" x14ac:dyDescent="0.2">
      <c r="A19" s="113" t="s">
        <v>118</v>
      </c>
      <c r="C19" s="114"/>
    </row>
    <row r="20" spans="1:3" s="113" customFormat="1" x14ac:dyDescent="0.2">
      <c r="A20" s="113" t="s">
        <v>119</v>
      </c>
      <c r="C20" s="114"/>
    </row>
    <row r="21" spans="1:3" s="113" customFormat="1" x14ac:dyDescent="0.2">
      <c r="A21" s="113" t="s">
        <v>120</v>
      </c>
      <c r="C21" s="114"/>
    </row>
    <row r="22" spans="1:3" s="113" customFormat="1" x14ac:dyDescent="0.2">
      <c r="A22" s="113" t="s">
        <v>121</v>
      </c>
      <c r="C22" s="114"/>
    </row>
    <row r="23" spans="1:3" s="113" customFormat="1" x14ac:dyDescent="0.2">
      <c r="A23" s="113" t="s">
        <v>122</v>
      </c>
      <c r="C23" s="114"/>
    </row>
    <row r="24" spans="1:3" s="113" customFormat="1" x14ac:dyDescent="0.2">
      <c r="A24" s="113" t="s">
        <v>123</v>
      </c>
      <c r="C24" s="114"/>
    </row>
    <row r="25" spans="1:3" s="113" customFormat="1" x14ac:dyDescent="0.2">
      <c r="A25" s="113" t="s">
        <v>124</v>
      </c>
      <c r="C25" s="114"/>
    </row>
    <row r="26" spans="1:3" s="113" customFormat="1" x14ac:dyDescent="0.2">
      <c r="A26" s="113" t="s">
        <v>125</v>
      </c>
      <c r="C26" s="114"/>
    </row>
    <row r="27" spans="1:3" s="113" customFormat="1" x14ac:dyDescent="0.2">
      <c r="A27" s="113" t="s">
        <v>126</v>
      </c>
      <c r="C27" s="114"/>
    </row>
    <row r="28" spans="1:3" s="113" customFormat="1" x14ac:dyDescent="0.2">
      <c r="A28" s="113" t="s">
        <v>127</v>
      </c>
      <c r="C28" s="114"/>
    </row>
    <row r="29" spans="1:3" s="113" customFormat="1" x14ac:dyDescent="0.2">
      <c r="A29" s="113" t="s">
        <v>128</v>
      </c>
      <c r="C29" s="114"/>
    </row>
    <row r="30" spans="1:3" s="113" customFormat="1" x14ac:dyDescent="0.2">
      <c r="A30" s="113" t="s">
        <v>129</v>
      </c>
      <c r="C30" s="114"/>
    </row>
    <row r="31" spans="1:3" s="113" customFormat="1" x14ac:dyDescent="0.2">
      <c r="A31" s="113" t="s">
        <v>130</v>
      </c>
      <c r="C31" s="114"/>
    </row>
    <row r="32" spans="1:3" s="113" customFormat="1" x14ac:dyDescent="0.2">
      <c r="A32" s="113" t="s">
        <v>131</v>
      </c>
      <c r="C32" s="114"/>
    </row>
    <row r="33" spans="1:3" s="113" customFormat="1" x14ac:dyDescent="0.2">
      <c r="A33" s="113" t="s">
        <v>132</v>
      </c>
      <c r="C33" s="114"/>
    </row>
    <row r="34" spans="1:3" s="113" customFormat="1" x14ac:dyDescent="0.2">
      <c r="A34" s="113" t="s">
        <v>133</v>
      </c>
      <c r="C34" s="114"/>
    </row>
    <row r="35" spans="1:3" s="113" customFormat="1" x14ac:dyDescent="0.2">
      <c r="A35" s="113" t="s">
        <v>134</v>
      </c>
      <c r="C35" s="114"/>
    </row>
    <row r="36" spans="1:3" s="113" customFormat="1" x14ac:dyDescent="0.2">
      <c r="A36" s="113" t="s">
        <v>135</v>
      </c>
      <c r="C36" s="114"/>
    </row>
    <row r="37" spans="1:3" s="113" customFormat="1" x14ac:dyDescent="0.2">
      <c r="A37" s="113" t="s">
        <v>136</v>
      </c>
      <c r="C37" s="114"/>
    </row>
    <row r="38" spans="1:3" s="113" customFormat="1" x14ac:dyDescent="0.2">
      <c r="A38" s="113" t="s">
        <v>137</v>
      </c>
      <c r="C38" s="114"/>
    </row>
    <row r="39" spans="1:3" s="113" customFormat="1" x14ac:dyDescent="0.2">
      <c r="A39" s="113" t="s">
        <v>138</v>
      </c>
      <c r="C39" s="114"/>
    </row>
    <row r="40" spans="1:3" s="113" customFormat="1" x14ac:dyDescent="0.2">
      <c r="A40" s="113" t="s">
        <v>139</v>
      </c>
      <c r="C40" s="114"/>
    </row>
    <row r="41" spans="1:3" s="113" customFormat="1" x14ac:dyDescent="0.2">
      <c r="A41" s="113" t="s">
        <v>140</v>
      </c>
      <c r="C41" s="114"/>
    </row>
    <row r="42" spans="1:3" s="113" customFormat="1" x14ac:dyDescent="0.2">
      <c r="A42" s="113" t="s">
        <v>141</v>
      </c>
      <c r="C42" s="114"/>
    </row>
    <row r="43" spans="1:3" s="113" customFormat="1" x14ac:dyDescent="0.2">
      <c r="A43" s="113" t="s">
        <v>142</v>
      </c>
      <c r="C43" s="114"/>
    </row>
    <row r="44" spans="1:3" s="113" customFormat="1" x14ac:dyDescent="0.2">
      <c r="A44" s="113" t="s">
        <v>143</v>
      </c>
      <c r="C44" s="114"/>
    </row>
    <row r="45" spans="1:3" s="113" customFormat="1" x14ac:dyDescent="0.2">
      <c r="A45" s="113" t="s">
        <v>144</v>
      </c>
      <c r="C45" s="114"/>
    </row>
    <row r="46" spans="1:3" s="113" customFormat="1" x14ac:dyDescent="0.2">
      <c r="A46" s="113" t="s">
        <v>145</v>
      </c>
      <c r="C46" s="114"/>
    </row>
    <row r="47" spans="1:3" s="113" customFormat="1" x14ac:dyDescent="0.2">
      <c r="A47" s="113" t="s">
        <v>146</v>
      </c>
      <c r="C47" s="114"/>
    </row>
    <row r="48" spans="1:3" s="113" customFormat="1" x14ac:dyDescent="0.2">
      <c r="A48" s="113" t="s">
        <v>147</v>
      </c>
      <c r="C48" s="114"/>
    </row>
    <row r="49" spans="1:3" s="113" customFormat="1" x14ac:dyDescent="0.2">
      <c r="A49" s="113" t="s">
        <v>148</v>
      </c>
      <c r="C49" s="114"/>
    </row>
    <row r="50" spans="1:3" s="113" customFormat="1" x14ac:dyDescent="0.2">
      <c r="A50" s="113" t="s">
        <v>149</v>
      </c>
      <c r="C50" s="114"/>
    </row>
    <row r="51" spans="1:3" s="113" customFormat="1" x14ac:dyDescent="0.2">
      <c r="A51" s="113" t="s">
        <v>150</v>
      </c>
      <c r="C51" s="114"/>
    </row>
    <row r="52" spans="1:3" s="113" customFormat="1" x14ac:dyDescent="0.2">
      <c r="A52" s="113" t="s">
        <v>151</v>
      </c>
      <c r="C52" s="114"/>
    </row>
    <row r="53" spans="1:3" s="113" customFormat="1" x14ac:dyDescent="0.2">
      <c r="A53" s="113" t="s">
        <v>152</v>
      </c>
      <c r="C53" s="114"/>
    </row>
    <row r="54" spans="1:3" s="113" customFormat="1" x14ac:dyDescent="0.2">
      <c r="A54" s="113" t="s">
        <v>153</v>
      </c>
      <c r="C54" s="114"/>
    </row>
    <row r="55" spans="1:3" s="113" customFormat="1" x14ac:dyDescent="0.2">
      <c r="A55" s="113" t="s">
        <v>154</v>
      </c>
      <c r="C55" s="114"/>
    </row>
    <row r="56" spans="1:3" s="113" customFormat="1" x14ac:dyDescent="0.2">
      <c r="A56" s="113" t="s">
        <v>155</v>
      </c>
      <c r="C56" s="114"/>
    </row>
    <row r="57" spans="1:3" s="113" customFormat="1" x14ac:dyDescent="0.2">
      <c r="A57" s="113" t="s">
        <v>156</v>
      </c>
      <c r="C57" s="1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2CB9-B8E4-4A21-8ECA-10A70C78379C}">
  <dimension ref="A1:Y8"/>
  <sheetViews>
    <sheetView showGridLines="0" workbookViewId="0"/>
  </sheetViews>
  <sheetFormatPr defaultRowHeight="15" x14ac:dyDescent="0.25"/>
  <cols>
    <col min="1" max="1" width="22" customWidth="1"/>
  </cols>
  <sheetData>
    <row r="1" spans="1:25" x14ac:dyDescent="0.25">
      <c r="A1" t="s">
        <v>200</v>
      </c>
      <c r="B1" s="199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1"/>
    </row>
    <row r="2" spans="1:25" x14ac:dyDescent="0.25">
      <c r="A2" t="s">
        <v>199</v>
      </c>
      <c r="B2" s="48"/>
      <c r="C2" s="13"/>
      <c r="D2">
        <f>IF(OR(C2 = "BMC",C2 = "CHA"),"",C2)</f>
        <v>0</v>
      </c>
    </row>
    <row r="3" spans="1:25" x14ac:dyDescent="0.25">
      <c r="A3" t="s">
        <v>201</v>
      </c>
      <c r="B3" s="199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1"/>
    </row>
    <row r="4" spans="1:25" x14ac:dyDescent="0.25">
      <c r="A4" t="s">
        <v>202</v>
      </c>
      <c r="B4" s="48"/>
      <c r="C4" s="47"/>
      <c r="D4" s="47"/>
      <c r="E4" s="47"/>
      <c r="F4" s="13"/>
    </row>
    <row r="5" spans="1:25" x14ac:dyDescent="0.25">
      <c r="A5" t="s">
        <v>203</v>
      </c>
      <c r="B5" s="199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1"/>
    </row>
    <row r="6" spans="1:25" x14ac:dyDescent="0.25">
      <c r="A6" t="s">
        <v>204</v>
      </c>
      <c r="B6" s="199"/>
      <c r="C6" s="200"/>
      <c r="D6" s="200"/>
      <c r="E6" s="201"/>
    </row>
    <row r="7" spans="1:25" x14ac:dyDescent="0.25">
      <c r="A7" t="s">
        <v>205</v>
      </c>
      <c r="B7" s="48"/>
      <c r="C7" s="13"/>
    </row>
    <row r="8" spans="1:25" x14ac:dyDescent="0.25">
      <c r="A8" t="s">
        <v>206</v>
      </c>
      <c r="B8" s="199"/>
      <c r="C8" s="200"/>
      <c r="D8" s="200"/>
      <c r="E8" s="200"/>
      <c r="F8" s="200"/>
      <c r="G8" s="200"/>
      <c r="H8" s="200"/>
      <c r="I8" s="200"/>
      <c r="J8" s="200"/>
      <c r="K8" s="20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Cover</vt:lpstr>
      <vt:lpstr>Summary</vt:lpstr>
      <vt:lpstr>Timeliness</vt:lpstr>
      <vt:lpstr>Completeness</vt:lpstr>
      <vt:lpstr>Failure Claims Listing</vt:lpstr>
      <vt:lpstr>Appendix A</vt:lpstr>
      <vt:lpstr>Appendix B</vt:lpstr>
      <vt:lpstr>DATA_DOWNLOADS</vt:lpstr>
      <vt:lpstr>BENCHMARK_DATA</vt:lpstr>
      <vt:lpstr>DATA1_CLM_ACT_HDRS</vt:lpstr>
      <vt:lpstr>DATA2_PLAN_ACO</vt:lpstr>
      <vt:lpstr>DATA3_MISS_DATA</vt:lpstr>
      <vt:lpstr>DATA4_DATE_STRINGS</vt:lpstr>
      <vt:lpstr>DATA5_TIMELINESS_COUNTS</vt:lpstr>
      <vt:lpstr>DATA6_ACO_NAMES</vt:lpstr>
      <vt:lpstr>DATA7_BENCHMARK_COUNT</vt:lpstr>
      <vt:lpstr>DATA8_TIMELINESS_STRINGS</vt:lpstr>
      <vt:lpstr>FAILS_DATA</vt:lpstr>
      <vt:lpstr>Completeness!Print_Area</vt:lpstr>
      <vt:lpstr>Cover!Print_Area</vt:lpstr>
      <vt:lpstr>Summary!Print_Area</vt:lpstr>
      <vt:lpstr>Timeliness!Print_Area</vt:lpstr>
      <vt:lpstr>Completeness!Print_Titles</vt:lpstr>
      <vt:lpstr>TIMELINESS</vt:lpstr>
    </vt:vector>
  </TitlesOfParts>
  <Company>EOHHS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EOHHS</dc:creator>
  <cp:lastModifiedBy>Leger, JP (EHS)</cp:lastModifiedBy>
  <cp:lastPrinted>2018-07-13T18:26:33Z</cp:lastPrinted>
  <dcterms:created xsi:type="dcterms:W3CDTF">2018-03-20T21:29:49Z</dcterms:created>
  <dcterms:modified xsi:type="dcterms:W3CDTF">2021-12-01T19:13:55Z</dcterms:modified>
</cp:coreProperties>
</file>